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2ecded0c44668af/Desktop/Niket/Courses/Corp finance/Proj/"/>
    </mc:Choice>
  </mc:AlternateContent>
  <xr:revisionPtr revIDLastSave="0" documentId="8_{194E6C50-CC4B-40BC-8F2F-8FC4741249A0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Income Statement" sheetId="2" r:id="rId1"/>
    <sheet name="Balance Sheet" sheetId="3" r:id="rId2"/>
    <sheet name="Cash Flow Statement" sheetId="4" r:id="rId3"/>
    <sheet name="DCF" sheetId="5" r:id="rId4"/>
    <sheet name="DCF Calculation" sheetId="6" r:id="rId5"/>
    <sheet name="Ratios" sheetId="7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5" l="1"/>
  <c r="B59" i="5"/>
  <c r="B53" i="5"/>
  <c r="B52" i="5"/>
  <c r="B51" i="5"/>
  <c r="B47" i="5"/>
  <c r="B46" i="5"/>
  <c r="B7" i="5"/>
  <c r="B32" i="6"/>
  <c r="B39" i="6"/>
  <c r="B23" i="6"/>
  <c r="B6" i="5"/>
  <c r="B27" i="6"/>
  <c r="B30" i="6"/>
  <c r="B21" i="6"/>
  <c r="B41" i="5"/>
  <c r="B42" i="5"/>
  <c r="C41" i="5"/>
  <c r="E41" i="5"/>
  <c r="D41" i="5"/>
  <c r="B22" i="6"/>
  <c r="C17" i="6"/>
  <c r="D14" i="5"/>
  <c r="F15" i="5"/>
  <c r="F14" i="5"/>
  <c r="D16" i="5"/>
  <c r="D17" i="5"/>
  <c r="F16" i="5"/>
  <c r="F18" i="5"/>
  <c r="B20" i="5"/>
  <c r="B14" i="5"/>
  <c r="B21" i="5"/>
  <c r="C20" i="5"/>
  <c r="C14" i="5"/>
  <c r="C21" i="5"/>
  <c r="D20" i="5"/>
  <c r="D21" i="5"/>
  <c r="E20" i="5"/>
  <c r="E14" i="5"/>
  <c r="E21" i="5"/>
  <c r="F21" i="5"/>
  <c r="F20" i="5"/>
  <c r="B22" i="5"/>
  <c r="C22" i="5"/>
  <c r="D22" i="5"/>
  <c r="F22" i="5"/>
  <c r="F24" i="5"/>
  <c r="F25" i="5"/>
  <c r="B35" i="5"/>
  <c r="D18" i="5"/>
  <c r="D24" i="5"/>
  <c r="D25" i="5"/>
  <c r="B5" i="6"/>
  <c r="B3" i="6"/>
  <c r="B36" i="5"/>
  <c r="B37" i="5"/>
  <c r="B27" i="5"/>
  <c r="B28" i="5"/>
  <c r="C27" i="5"/>
  <c r="C28" i="5"/>
  <c r="D27" i="5"/>
  <c r="D28" i="5"/>
  <c r="E27" i="5"/>
  <c r="E28" i="5"/>
  <c r="F28" i="5"/>
  <c r="F27" i="5"/>
  <c r="B38" i="5"/>
  <c r="D9" i="6"/>
  <c r="E9" i="6"/>
  <c r="F9" i="6"/>
  <c r="F12" i="6"/>
  <c r="E12" i="6"/>
  <c r="F17" i="6"/>
  <c r="D10" i="6"/>
  <c r="E10" i="6"/>
  <c r="F10" i="6"/>
  <c r="F13" i="6"/>
  <c r="E13" i="6"/>
  <c r="F18" i="6"/>
  <c r="F19" i="6"/>
  <c r="B39" i="5"/>
  <c r="B40" i="5"/>
  <c r="B9" i="6"/>
  <c r="B12" i="6"/>
  <c r="B10" i="6"/>
  <c r="B13" i="6"/>
  <c r="B14" i="6"/>
  <c r="B24" i="5"/>
  <c r="B16" i="5"/>
  <c r="B18" i="5"/>
  <c r="B25" i="5"/>
  <c r="E22" i="5"/>
  <c r="E24" i="5"/>
  <c r="G22" i="5"/>
  <c r="G15" i="5"/>
  <c r="G14" i="5"/>
  <c r="G21" i="5"/>
  <c r="G20" i="5"/>
  <c r="B17" i="5"/>
  <c r="C16" i="5"/>
  <c r="C17" i="5"/>
  <c r="E16" i="5"/>
  <c r="E17" i="5"/>
  <c r="F17" i="5"/>
  <c r="G16" i="5"/>
  <c r="G17" i="5"/>
  <c r="H17" i="5"/>
  <c r="H15" i="5"/>
  <c r="H14" i="5"/>
  <c r="I15" i="5"/>
  <c r="I14" i="5"/>
  <c r="I16" i="5"/>
  <c r="H16" i="5"/>
  <c r="F19" i="5"/>
  <c r="E15" i="5"/>
  <c r="D15" i="5"/>
  <c r="C15" i="5"/>
  <c r="B4" i="6"/>
  <c r="B8" i="5"/>
  <c r="I17" i="5"/>
  <c r="C9" i="6"/>
  <c r="C12" i="6"/>
  <c r="I18" i="5"/>
  <c r="H22" i="5"/>
  <c r="I22" i="5"/>
  <c r="H21" i="5"/>
  <c r="I21" i="5"/>
  <c r="I20" i="5"/>
  <c r="I24" i="5"/>
  <c r="I25" i="5"/>
  <c r="E35" i="5"/>
  <c r="E36" i="5"/>
  <c r="E37" i="5"/>
  <c r="G28" i="5"/>
  <c r="H28" i="5"/>
  <c r="I28" i="5"/>
  <c r="I27" i="5"/>
  <c r="E38" i="5"/>
  <c r="G9" i="6"/>
  <c r="H9" i="6"/>
  <c r="I9" i="6"/>
  <c r="I12" i="6"/>
  <c r="H12" i="6"/>
  <c r="I17" i="6"/>
  <c r="G10" i="6"/>
  <c r="H10" i="6"/>
  <c r="I10" i="6"/>
  <c r="I13" i="6"/>
  <c r="H13" i="6"/>
  <c r="I18" i="6"/>
  <c r="I19" i="6"/>
  <c r="E39" i="5"/>
  <c r="E40" i="5"/>
  <c r="B5" i="5"/>
  <c r="I30" i="7"/>
  <c r="H30" i="7"/>
  <c r="G30" i="7"/>
  <c r="F30" i="7"/>
  <c r="E30" i="7"/>
  <c r="D30" i="7"/>
  <c r="C30" i="7"/>
  <c r="B30" i="7"/>
  <c r="I29" i="7"/>
  <c r="H29" i="7"/>
  <c r="G29" i="7"/>
  <c r="F29" i="7"/>
  <c r="E29" i="7"/>
  <c r="D29" i="7"/>
  <c r="C29" i="7"/>
  <c r="B29" i="7"/>
  <c r="I28" i="7"/>
  <c r="H28" i="7"/>
  <c r="G28" i="7"/>
  <c r="F28" i="7"/>
  <c r="E28" i="7"/>
  <c r="D28" i="7"/>
  <c r="C28" i="7"/>
  <c r="B28" i="7"/>
  <c r="I27" i="7"/>
  <c r="H27" i="7"/>
  <c r="G27" i="7"/>
  <c r="F27" i="7"/>
  <c r="E27" i="7"/>
  <c r="D27" i="7"/>
  <c r="C27" i="7"/>
  <c r="B27" i="7"/>
  <c r="I26" i="7"/>
  <c r="H26" i="7"/>
  <c r="G26" i="7"/>
  <c r="F26" i="7"/>
  <c r="E26" i="7"/>
  <c r="D26" i="7"/>
  <c r="C26" i="7"/>
  <c r="B26" i="7"/>
  <c r="E25" i="7"/>
  <c r="D25" i="7"/>
  <c r="C25" i="7"/>
  <c r="B25" i="7"/>
  <c r="I25" i="7"/>
  <c r="H25" i="7"/>
  <c r="G25" i="7"/>
  <c r="F25" i="7"/>
  <c r="I24" i="7"/>
  <c r="H24" i="7"/>
  <c r="G24" i="7"/>
  <c r="F24" i="7"/>
  <c r="E24" i="7"/>
  <c r="D24" i="7"/>
  <c r="C24" i="7"/>
  <c r="B24" i="7"/>
  <c r="I23" i="7"/>
  <c r="H23" i="7"/>
  <c r="G23" i="7"/>
  <c r="F23" i="7"/>
  <c r="E23" i="7"/>
  <c r="D23" i="7"/>
  <c r="C23" i="7"/>
  <c r="B23" i="7"/>
  <c r="F16" i="6"/>
  <c r="G16" i="6"/>
  <c r="H16" i="6"/>
  <c r="F8" i="6"/>
  <c r="G8" i="6"/>
  <c r="H8" i="6"/>
  <c r="E18" i="5"/>
  <c r="E19" i="5"/>
  <c r="E23" i="5"/>
  <c r="E25" i="5"/>
  <c r="E14" i="6"/>
  <c r="B38" i="6"/>
  <c r="B58" i="5"/>
  <c r="B37" i="6"/>
  <c r="B36" i="6"/>
  <c r="B57" i="5"/>
  <c r="B31" i="6"/>
  <c r="B19" i="6"/>
  <c r="C16" i="6"/>
  <c r="D16" i="6"/>
  <c r="I16" i="6"/>
  <c r="C8" i="6"/>
  <c r="D8" i="6"/>
  <c r="I8" i="6"/>
  <c r="D12" i="6"/>
  <c r="E17" i="6"/>
  <c r="D13" i="6"/>
  <c r="E18" i="6"/>
  <c r="D23" i="5"/>
  <c r="B19" i="5"/>
  <c r="C18" i="5"/>
  <c r="C19" i="5"/>
  <c r="C10" i="6"/>
  <c r="C23" i="5"/>
  <c r="C24" i="5"/>
  <c r="B23" i="5"/>
  <c r="D19" i="5"/>
  <c r="F23" i="5"/>
  <c r="C25" i="5"/>
  <c r="E19" i="6"/>
  <c r="B4" i="5"/>
  <c r="C13" i="6"/>
  <c r="C37" i="5"/>
  <c r="G23" i="5"/>
  <c r="D17" i="6"/>
  <c r="C18" i="6"/>
  <c r="D18" i="6"/>
  <c r="G27" i="5"/>
  <c r="C38" i="5"/>
  <c r="G18" i="5"/>
  <c r="G19" i="5"/>
  <c r="G13" i="6"/>
  <c r="G18" i="6"/>
  <c r="D14" i="6"/>
  <c r="C14" i="6"/>
  <c r="G12" i="6"/>
  <c r="G17" i="6"/>
  <c r="G24" i="5"/>
  <c r="D37" i="5"/>
  <c r="H23" i="5"/>
  <c r="C19" i="6"/>
  <c r="D19" i="6"/>
  <c r="H27" i="5"/>
  <c r="D38" i="5"/>
  <c r="G25" i="5"/>
  <c r="C35" i="5"/>
  <c r="C36" i="5"/>
  <c r="I23" i="5"/>
  <c r="H20" i="5"/>
  <c r="H24" i="5"/>
  <c r="H18" i="6"/>
  <c r="H18" i="5"/>
  <c r="G14" i="6"/>
  <c r="F14" i="6"/>
  <c r="G19" i="6"/>
  <c r="C39" i="5"/>
  <c r="C40" i="5"/>
  <c r="C42" i="5"/>
  <c r="H25" i="5"/>
  <c r="D35" i="5"/>
  <c r="D36" i="5"/>
  <c r="H19" i="5"/>
  <c r="I19" i="5"/>
  <c r="H17" i="6"/>
  <c r="H19" i="6"/>
  <c r="D39" i="5"/>
  <c r="H14" i="6"/>
  <c r="I14" i="6"/>
  <c r="D40" i="5"/>
  <c r="D42" i="5"/>
  <c r="E42" i="5"/>
  <c r="B56" i="5"/>
</calcChain>
</file>

<file path=xl/sharedStrings.xml><?xml version="1.0" encoding="utf-8"?>
<sst xmlns="http://schemas.openxmlformats.org/spreadsheetml/2006/main" count="227" uniqueCount="195">
  <si>
    <t>Revenue</t>
  </si>
  <si>
    <t>Fiscal years ended</t>
  </si>
  <si>
    <t>September 30, 2023</t>
  </si>
  <si>
    <t>October 1, 2022</t>
  </si>
  <si>
    <t>October 2, 2021</t>
  </si>
  <si>
    <t>Net sales</t>
  </si>
  <si>
    <t>Cost of goods sold</t>
  </si>
  <si>
    <t>Selling, general and administrative</t>
  </si>
  <si>
    <t>Amortization of intangibles</t>
  </si>
  <si>
    <t>Restructuring and transaction activities</t>
  </si>
  <si>
    <t>Operating income</t>
  </si>
  <si>
    <t>Other expense</t>
  </si>
  <si>
    <t>Interest expense</t>
  </si>
  <si>
    <t>Income before income taxes</t>
  </si>
  <si>
    <t>Income tax expense</t>
  </si>
  <si>
    <t>Net income</t>
  </si>
  <si>
    <t>2023</t>
  </si>
  <si>
    <t>2022</t>
  </si>
  <si>
    <t>Cash and cash equivalents</t>
  </si>
  <si>
    <t>Accounts receivable</t>
  </si>
  <si>
    <t>Inventories</t>
  </si>
  <si>
    <t>Prepaid expenses and other current assets</t>
  </si>
  <si>
    <t>Total current assets</t>
  </si>
  <si>
    <t>Property, plant and equipment</t>
  </si>
  <si>
    <t>Goodwill and intangible assets</t>
  </si>
  <si>
    <t>Right-of-use assets</t>
  </si>
  <si>
    <t>Other assets</t>
  </si>
  <si>
    <t>Total assets</t>
  </si>
  <si>
    <t>Accounts payable</t>
  </si>
  <si>
    <t>Accrued employee costs</t>
  </si>
  <si>
    <t>Other current liabilities</t>
  </si>
  <si>
    <t>Current portion of long-term debt</t>
  </si>
  <si>
    <t>Total current liabilities</t>
  </si>
  <si>
    <t>Long-term debt</t>
  </si>
  <si>
    <t>Deferred income taxes</t>
  </si>
  <si>
    <t>Employee benefit obligations</t>
  </si>
  <si>
    <t>Operating lease liabilities</t>
  </si>
  <si>
    <t>Other long-term liabilities</t>
  </si>
  <si>
    <t>Total liabilities</t>
  </si>
  <si>
    <t>Common stock</t>
  </si>
  <si>
    <t>Additional paid-in capital</t>
  </si>
  <si>
    <t>Retained earnings</t>
  </si>
  <si>
    <t>Accumulated other comprehensive loss</t>
  </si>
  <si>
    <t>Total stockholders’ equity</t>
  </si>
  <si>
    <t>Total liabilities and stockholders’ equity</t>
  </si>
  <si>
    <t>Cash Flows</t>
  </si>
  <si>
    <t>Depreciation</t>
  </si>
  <si>
    <t>Non-cash interest expense</t>
  </si>
  <si>
    <t>Share-based compensation expense</t>
  </si>
  <si>
    <t>Deferred income tax</t>
  </si>
  <si>
    <t>Other non-cash operating activities, net</t>
  </si>
  <si>
    <t>Settlement of derivatives</t>
  </si>
  <si>
    <t>Prepaid expenses and other assets</t>
  </si>
  <si>
    <t>Accounts payable and other liabilities</t>
  </si>
  <si>
    <t>Net cash from operating activities</t>
  </si>
  <si>
    <t>Additions to property, plant and equipment, net</t>
  </si>
  <si>
    <t>Acquisition of businesses</t>
  </si>
  <si>
    <t>Net cash from investing activities</t>
  </si>
  <si>
    <t>Proceeds from long-term borrowings</t>
  </si>
  <si>
    <t>Repayment of long-term borrowings</t>
  </si>
  <si>
    <t>Proceeds from issuance of common stock</t>
  </si>
  <si>
    <t>Repurchase of common stock</t>
  </si>
  <si>
    <t>Dividends paid</t>
  </si>
  <si>
    <t>Debt financing costs</t>
  </si>
  <si>
    <t>Net cash from financing activities</t>
  </si>
  <si>
    <t>Effect of currency translation on cash</t>
  </si>
  <si>
    <t>Net change in cash and cash equivalents</t>
  </si>
  <si>
    <t>Cash and cash equivalents at beginning of period</t>
  </si>
  <si>
    <t>Cash and cash equivalents at end of period</t>
  </si>
  <si>
    <t>Growth rate -</t>
  </si>
  <si>
    <t>Tax rate -</t>
  </si>
  <si>
    <t>Wacc -</t>
  </si>
  <si>
    <t>Total Debt -</t>
  </si>
  <si>
    <t>CAPEX</t>
  </si>
  <si>
    <t>Cash -</t>
  </si>
  <si>
    <t>CAPEX -</t>
  </si>
  <si>
    <t>Particulars</t>
  </si>
  <si>
    <t>Growth YoY</t>
  </si>
  <si>
    <t>% of Revenue</t>
  </si>
  <si>
    <t>Gross Profit</t>
  </si>
  <si>
    <t>Selling, general and administrative expenses</t>
  </si>
  <si>
    <t>Depreciation &amp; Amortization</t>
  </si>
  <si>
    <t>Total Operating Expenses</t>
  </si>
  <si>
    <t>EBIT</t>
  </si>
  <si>
    <t>2021 A</t>
  </si>
  <si>
    <t>2022 A</t>
  </si>
  <si>
    <t>2023 A</t>
  </si>
  <si>
    <t>2027 E</t>
  </si>
  <si>
    <t>2025 E</t>
  </si>
  <si>
    <t>2026 E</t>
  </si>
  <si>
    <t>(reducing by 0.25% every year)</t>
  </si>
  <si>
    <t>CALCULATIONS:</t>
  </si>
  <si>
    <t>Tax Rate</t>
  </si>
  <si>
    <t>Tax Expense</t>
  </si>
  <si>
    <t>Change in Working Capital</t>
  </si>
  <si>
    <t>Days Receivables</t>
  </si>
  <si>
    <t>Days Payables</t>
  </si>
  <si>
    <t>Accounts Receivable</t>
  </si>
  <si>
    <t>Accounts Payables</t>
  </si>
  <si>
    <t>NWC</t>
  </si>
  <si>
    <t>Change in NWC</t>
  </si>
  <si>
    <t>Change in Accounts Receivable</t>
  </si>
  <si>
    <t>Change in Accounts Payables</t>
  </si>
  <si>
    <t>WACC</t>
  </si>
  <si>
    <t>Equity</t>
  </si>
  <si>
    <t>Debt</t>
  </si>
  <si>
    <t>Beta</t>
  </si>
  <si>
    <t>Risk Free Rate</t>
  </si>
  <si>
    <t>Market Risk Premium</t>
  </si>
  <si>
    <t>Cost of Equity</t>
  </si>
  <si>
    <t>Share Price</t>
  </si>
  <si>
    <t>No of Shares outstanding</t>
  </si>
  <si>
    <t>Cost of Debt</t>
  </si>
  <si>
    <t>Interest Expense</t>
  </si>
  <si>
    <t>Total Debt</t>
  </si>
  <si>
    <t>DCF</t>
  </si>
  <si>
    <t>Years</t>
  </si>
  <si>
    <t>Year Count</t>
  </si>
  <si>
    <t>Add: Tax on EBIT</t>
  </si>
  <si>
    <t>Add:D&amp;A</t>
  </si>
  <si>
    <t>Less: CAPEX</t>
  </si>
  <si>
    <t>Less: NWC</t>
  </si>
  <si>
    <t>FCF</t>
  </si>
  <si>
    <t>Discount Rate</t>
  </si>
  <si>
    <t>PV of Free Cash Flow</t>
  </si>
  <si>
    <t>Terminal Value</t>
  </si>
  <si>
    <t>TV</t>
  </si>
  <si>
    <t>PV OF TV</t>
  </si>
  <si>
    <t>NET DEBT</t>
  </si>
  <si>
    <t>Long term</t>
  </si>
  <si>
    <t>Add: Short Term Debt</t>
  </si>
  <si>
    <t>Less: Cash</t>
  </si>
  <si>
    <t>Net Debt</t>
  </si>
  <si>
    <t>Enterprise Value</t>
  </si>
  <si>
    <t>PV of FCF</t>
  </si>
  <si>
    <t>PV of TV</t>
  </si>
  <si>
    <t>EV</t>
  </si>
  <si>
    <t>September 28, 2024</t>
  </si>
  <si>
    <t>2028 E</t>
  </si>
  <si>
    <t>2024 A</t>
  </si>
  <si>
    <t>Equity Value</t>
  </si>
  <si>
    <t>Less: Debt</t>
  </si>
  <si>
    <t>Add: Cash</t>
  </si>
  <si>
    <r>
      <t>Revenue</t>
    </r>
    <r>
      <rPr>
        <sz val="11"/>
        <color theme="1"/>
        <rFont val="Calibri"/>
        <family val="2"/>
        <scheme val="minor"/>
      </rPr>
      <t xml:space="preserve"> ($M)</t>
    </r>
  </si>
  <si>
    <r>
      <t>Growth YoY</t>
    </r>
    <r>
      <rPr>
        <sz val="11"/>
        <color theme="1"/>
        <rFont val="Calibri"/>
        <family val="2"/>
        <scheme val="minor"/>
      </rPr>
      <t xml:space="preserve"> (%)</t>
    </r>
  </si>
  <si>
    <r>
      <t>Cost of Goods Sold (COGS)</t>
    </r>
    <r>
      <rPr>
        <sz val="11"/>
        <color theme="1"/>
        <rFont val="Calibri"/>
        <family val="2"/>
        <scheme val="minor"/>
      </rPr>
      <t xml:space="preserve"> ($M)</t>
    </r>
  </si>
  <si>
    <t>COGS (% of Revenue)</t>
  </si>
  <si>
    <r>
      <t>Gross Profit</t>
    </r>
    <r>
      <rPr>
        <sz val="11"/>
        <color theme="1"/>
        <rFont val="Calibri"/>
        <family val="2"/>
        <scheme val="minor"/>
      </rPr>
      <t xml:space="preserve"> ($M)</t>
    </r>
  </si>
  <si>
    <t>Gross Profit Margin (% of Revenue)</t>
  </si>
  <si>
    <r>
      <t>SG&amp;A Expenses</t>
    </r>
    <r>
      <rPr>
        <sz val="11"/>
        <color theme="1"/>
        <rFont val="Calibri"/>
        <family val="2"/>
        <scheme val="minor"/>
      </rPr>
      <t xml:space="preserve"> ($M)</t>
    </r>
  </si>
  <si>
    <t>SG&amp;A (% of Revenue)</t>
  </si>
  <si>
    <r>
      <t>Depreciation &amp; Amortization</t>
    </r>
    <r>
      <rPr>
        <sz val="11"/>
        <color theme="1"/>
        <rFont val="Calibri"/>
        <family val="2"/>
        <scheme val="minor"/>
      </rPr>
      <t xml:space="preserve"> ($M)</t>
    </r>
  </si>
  <si>
    <t>Depreciation &amp; Amortization (% Revenue)</t>
  </si>
  <si>
    <r>
      <t>Total Operating Expenses</t>
    </r>
    <r>
      <rPr>
        <sz val="11"/>
        <color theme="1"/>
        <rFont val="Calibri"/>
        <family val="2"/>
        <scheme val="minor"/>
      </rPr>
      <t xml:space="preserve"> ($M)</t>
    </r>
  </si>
  <si>
    <r>
      <t>EBIT</t>
    </r>
    <r>
      <rPr>
        <sz val="11"/>
        <color theme="1"/>
        <rFont val="Calibri"/>
        <family val="2"/>
        <scheme val="minor"/>
      </rPr>
      <t xml:space="preserve"> ($M)</t>
    </r>
  </si>
  <si>
    <r>
      <t>CAPEX</t>
    </r>
    <r>
      <rPr>
        <sz val="11"/>
        <color theme="1"/>
        <rFont val="Calibri"/>
        <family val="2"/>
        <scheme val="minor"/>
      </rPr>
      <t xml:space="preserve"> ($M)</t>
    </r>
  </si>
  <si>
    <t>CAPEX (% of Revenue)</t>
  </si>
  <si>
    <t>2021A</t>
  </si>
  <si>
    <t>2022A</t>
  </si>
  <si>
    <t>2023A</t>
  </si>
  <si>
    <t>2024E</t>
  </si>
  <si>
    <t>2025E</t>
  </si>
  <si>
    <t>2026E</t>
  </si>
  <si>
    <t>2027E</t>
  </si>
  <si>
    <t>2028E</t>
  </si>
  <si>
    <t>Financial Ratios (2021A – 2028E)</t>
  </si>
  <si>
    <t>Ratios</t>
  </si>
  <si>
    <r>
      <t>Gross Profit Margin</t>
    </r>
    <r>
      <rPr>
        <sz val="11"/>
        <color theme="1"/>
        <rFont val="Calibri"/>
        <family val="2"/>
        <scheme val="minor"/>
      </rPr>
      <t xml:space="preserve"> (%)</t>
    </r>
  </si>
  <si>
    <r>
      <t>EBIT Margin</t>
    </r>
    <r>
      <rPr>
        <sz val="11"/>
        <color theme="1"/>
        <rFont val="Calibri"/>
        <family val="2"/>
        <scheme val="minor"/>
      </rPr>
      <t xml:space="preserve"> (%)</t>
    </r>
  </si>
  <si>
    <r>
      <t>SG&amp;A to Revenue</t>
    </r>
    <r>
      <rPr>
        <sz val="11"/>
        <color theme="1"/>
        <rFont val="Calibri"/>
        <family val="2"/>
        <scheme val="minor"/>
      </rPr>
      <t xml:space="preserve"> (%)</t>
    </r>
  </si>
  <si>
    <r>
      <t>CAPEX to Revenue</t>
    </r>
    <r>
      <rPr>
        <sz val="11"/>
        <color theme="1"/>
        <rFont val="Calibri"/>
        <family val="2"/>
        <scheme val="minor"/>
      </rPr>
      <t xml:space="preserve"> (%)</t>
    </r>
  </si>
  <si>
    <r>
      <t>Depreciation to Revenue</t>
    </r>
    <r>
      <rPr>
        <sz val="11"/>
        <color theme="1"/>
        <rFont val="Calibri"/>
        <family val="2"/>
        <scheme val="minor"/>
      </rPr>
      <t xml:space="preserve"> (%)</t>
    </r>
  </si>
  <si>
    <r>
      <t>Operating Expense Ratio</t>
    </r>
    <r>
      <rPr>
        <sz val="11"/>
        <color theme="1"/>
        <rFont val="Calibri"/>
        <family val="2"/>
        <scheme val="minor"/>
      </rPr>
      <t xml:space="preserve"> (%)</t>
    </r>
  </si>
  <si>
    <r>
      <t>COGS to Revenue</t>
    </r>
    <r>
      <rPr>
        <sz val="11"/>
        <color theme="1"/>
        <rFont val="Calibri"/>
        <family val="2"/>
        <scheme val="minor"/>
      </rPr>
      <t xml:space="preserve"> (%)</t>
    </r>
  </si>
  <si>
    <r>
      <t>EBITDA Margin</t>
    </r>
    <r>
      <rPr>
        <sz val="11"/>
        <color theme="1"/>
        <rFont val="Calibri"/>
        <family val="2"/>
        <scheme val="minor"/>
      </rPr>
      <t xml:space="preserve"> (%)</t>
    </r>
  </si>
  <si>
    <t>NOTES</t>
  </si>
  <si>
    <r>
      <rPr>
        <b/>
        <sz val="11"/>
        <color theme="1"/>
        <rFont val="Calibri"/>
        <family val="2"/>
        <scheme val="minor"/>
      </rPr>
      <t>1) Gross Profit Margin</t>
    </r>
    <r>
      <rPr>
        <sz val="11"/>
        <color theme="1"/>
        <rFont val="Calibri"/>
        <family val="2"/>
        <scheme val="minor"/>
      </rPr>
      <t xml:space="preserve"> improves steadily from 18.04% in 2021 to 19.03% by 2028, </t>
    </r>
  </si>
  <si>
    <t>indicating better pricing power or cost control over time.</t>
  </si>
  <si>
    <r>
      <rPr>
        <b/>
        <sz val="11"/>
        <color theme="1"/>
        <rFont val="Calibri"/>
        <family val="2"/>
        <scheme val="minor"/>
      </rPr>
      <t xml:space="preserve">2) EBITDA Margin </t>
    </r>
    <r>
      <rPr>
        <sz val="11"/>
        <color theme="1"/>
        <rFont val="Calibri"/>
        <family val="2"/>
        <scheme val="minor"/>
      </rPr>
      <t>shows healthy recovery post-2023, increasing from 10.39% (2024E) to 11.73% (2028E).</t>
    </r>
  </si>
  <si>
    <t>This reflects improving operational efficiency despite temporary setbacks.</t>
  </si>
  <si>
    <r>
      <rPr>
        <b/>
        <sz val="11"/>
        <color theme="1"/>
        <rFont val="Calibri"/>
        <family val="2"/>
        <scheme val="minor"/>
      </rPr>
      <t>3)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EBIT Margin</t>
    </r>
    <r>
      <rPr>
        <sz val="11"/>
        <color theme="1"/>
        <rFont val="Calibri"/>
        <family val="2"/>
        <scheme val="minor"/>
      </rPr>
      <t xml:space="preserve"> grows from a low of 5.84% in 2024E to 7.85% by 2028E, suggesting a strong earnings rebound.</t>
    </r>
  </si>
  <si>
    <r>
      <rPr>
        <b/>
        <sz val="11"/>
        <color theme="1"/>
        <rFont val="Calibri"/>
        <family val="2"/>
        <scheme val="minor"/>
      </rPr>
      <t>4)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SG&amp;A to Revenue (%)</t>
    </r>
    <r>
      <rPr>
        <sz val="11"/>
        <color theme="1"/>
        <rFont val="Calibri"/>
        <family val="2"/>
        <scheme val="minor"/>
      </rPr>
      <t xml:space="preserve"> remains well-managed, staying around 6–7%, which shows disciplined overhead control.</t>
    </r>
  </si>
  <si>
    <r>
      <t xml:space="preserve">5) CAPEX to Revenue </t>
    </r>
    <r>
      <rPr>
        <sz val="11"/>
        <color theme="1"/>
        <rFont val="Calibri"/>
        <family val="2"/>
        <scheme val="minor"/>
      </rPr>
      <t>stabilizes at 3.14% after a one-off adjustment in 2024, signaling long-term reinvestment focus.</t>
    </r>
  </si>
  <si>
    <r>
      <rPr>
        <b/>
        <sz val="11"/>
        <color theme="1"/>
        <rFont val="Calibri"/>
        <family val="2"/>
        <scheme val="minor"/>
      </rPr>
      <t xml:space="preserve">6) Operating Expense Ratio </t>
    </r>
    <r>
      <rPr>
        <sz val="11"/>
        <color theme="1"/>
        <rFont val="Calibri"/>
        <family val="2"/>
        <scheme val="minor"/>
      </rPr>
      <t xml:space="preserve">remains slightly elevated post-2024 (11.63% to 11.18%) but flattens toward 2028,  </t>
    </r>
  </si>
  <si>
    <t>indicating fixed costs may still be weighing on margins.</t>
  </si>
  <si>
    <r>
      <rPr>
        <b/>
        <sz val="11"/>
        <color theme="1"/>
        <rFont val="Calibri"/>
        <family val="2"/>
        <scheme val="minor"/>
      </rPr>
      <t xml:space="preserve">7) COGS to Revenue </t>
    </r>
    <r>
      <rPr>
        <sz val="11"/>
        <color theme="1"/>
        <rFont val="Calibri"/>
        <family val="2"/>
        <scheme val="minor"/>
      </rPr>
      <t>remains high (~81–83%), which pressures margins. Any improvement in</t>
    </r>
  </si>
  <si>
    <t>supply chain or raw material efficiency could drive better profitability.</t>
  </si>
  <si>
    <t>KEY VARIABLES:</t>
  </si>
  <si>
    <t>CONSENSUS FINANCIAL PROJECTIONS</t>
  </si>
  <si>
    <t>FREE CASH FLOW</t>
  </si>
  <si>
    <t>TERMINAL VALUE</t>
  </si>
  <si>
    <t>ENTERPRISE VALUE</t>
  </si>
  <si>
    <t>EQUITY VALUE</t>
  </si>
  <si>
    <t>RATIOS:</t>
  </si>
  <si>
    <t>In $ 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</si>
</sst>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0.0%"/>
    <numFmt numFmtId="166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576E1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1" xfId="0" applyBorder="1"/>
    <xf numFmtId="44" fontId="0" fillId="0" borderId="0" xfId="2" applyFont="1"/>
    <xf numFmtId="44" fontId="0" fillId="0" borderId="0" xfId="0" applyNumberFormat="1"/>
    <xf numFmtId="44" fontId="0" fillId="0" borderId="1" xfId="2" applyFont="1" applyBorder="1"/>
    <xf numFmtId="44" fontId="0" fillId="0" borderId="1" xfId="0" applyNumberFormat="1" applyBorder="1"/>
    <xf numFmtId="164" fontId="0" fillId="0" borderId="1" xfId="0" applyNumberFormat="1" applyBorder="1"/>
    <xf numFmtId="165" fontId="0" fillId="0" borderId="0" xfId="0" applyNumberFormat="1"/>
    <xf numFmtId="10" fontId="0" fillId="0" borderId="0" xfId="0" applyNumberFormat="1"/>
    <xf numFmtId="10" fontId="3" fillId="0" borderId="0" xfId="0" applyNumberFormat="1" applyFont="1"/>
    <xf numFmtId="10" fontId="0" fillId="0" borderId="1" xfId="0" applyNumberFormat="1" applyBorder="1"/>
    <xf numFmtId="10" fontId="0" fillId="0" borderId="1" xfId="3" applyNumberFormat="1" applyFont="1" applyBorder="1"/>
    <xf numFmtId="10" fontId="0" fillId="0" borderId="0" xfId="3" applyNumberFormat="1" applyFont="1" applyFill="1" applyBorder="1"/>
    <xf numFmtId="164" fontId="0" fillId="0" borderId="0" xfId="0" applyNumberFormat="1"/>
    <xf numFmtId="0" fontId="2" fillId="0" borderId="0" xfId="0" applyFont="1"/>
    <xf numFmtId="0" fontId="2" fillId="0" borderId="1" xfId="0" applyFont="1" applyBorder="1"/>
    <xf numFmtId="2" fontId="0" fillId="0" borderId="1" xfId="0" applyNumberFormat="1" applyBorder="1"/>
    <xf numFmtId="0" fontId="0" fillId="0" borderId="1" xfId="0" applyBorder="1" applyAlignment="1">
      <alignment horizontal="left" indent="1"/>
    </xf>
    <xf numFmtId="10" fontId="2" fillId="0" borderId="1" xfId="3" applyNumberFormat="1" applyFont="1" applyBorder="1"/>
    <xf numFmtId="10" fontId="2" fillId="0" borderId="1" xfId="0" applyNumberFormat="1" applyFont="1" applyBorder="1"/>
    <xf numFmtId="166" fontId="3" fillId="0" borderId="0" xfId="1" applyNumberFormat="1" applyFont="1" applyFill="1"/>
    <xf numFmtId="0" fontId="3" fillId="0" borderId="2" xfId="0" applyFont="1" applyBorder="1"/>
    <xf numFmtId="166" fontId="3" fillId="0" borderId="2" xfId="1" applyNumberFormat="1" applyFont="1" applyFill="1" applyBorder="1"/>
    <xf numFmtId="2" fontId="0" fillId="0" borderId="0" xfId="3" applyNumberFormat="1" applyFont="1"/>
    <xf numFmtId="43" fontId="0" fillId="0" borderId="0" xfId="0" applyNumberFormat="1"/>
    <xf numFmtId="10" fontId="0" fillId="0" borderId="0" xfId="3" applyNumberFormat="1" applyFont="1"/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 wrapText="1"/>
    </xf>
    <xf numFmtId="0" fontId="7" fillId="0" borderId="1" xfId="0" applyFont="1" applyBorder="1"/>
    <xf numFmtId="0" fontId="8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4" fillId="2" borderId="0" xfId="0" applyFont="1" applyFill="1"/>
    <xf numFmtId="0" fontId="0" fillId="2" borderId="0" xfId="0" applyFill="1"/>
    <xf numFmtId="0" fontId="4" fillId="2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65" fontId="10" fillId="2" borderId="0" xfId="3" applyNumberFormat="1" applyFont="1" applyFill="1"/>
    <xf numFmtId="0" fontId="5" fillId="2" borderId="0" xfId="0" applyFont="1" applyFill="1"/>
    <xf numFmtId="44" fontId="5" fillId="2" borderId="0" xfId="0" applyNumberFormat="1" applyFont="1" applyFill="1"/>
    <xf numFmtId="0" fontId="4" fillId="3" borderId="0" xfId="0" applyFont="1" applyFill="1"/>
    <xf numFmtId="0" fontId="5" fillId="3" borderId="0" xfId="0" applyFont="1" applyFill="1"/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top"/>
    </xf>
    <xf numFmtId="2" fontId="0" fillId="0" borderId="0" xfId="0" applyNumberFormat="1"/>
    <xf numFmtId="44" fontId="3" fillId="0" borderId="0" xfId="2" applyFont="1" applyFill="1"/>
    <xf numFmtId="44" fontId="3" fillId="0" borderId="0" xfId="2" applyFont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3CDB-1A91-4632-94CE-FF5329790664}">
  <dimension ref="A1:E13"/>
  <sheetViews>
    <sheetView workbookViewId="0">
      <selection activeCell="C10" sqref="C10"/>
    </sheetView>
  </sheetViews>
  <sheetFormatPr defaultRowHeight="14.4" x14ac:dyDescent="0.3"/>
  <cols>
    <col min="1" max="1" width="33.109375" bestFit="1" customWidth="1"/>
    <col min="2" max="3" width="17.88671875" bestFit="1" customWidth="1"/>
    <col min="4" max="5" width="14.33203125" bestFit="1" customWidth="1"/>
    <col min="6" max="6" width="9.5546875" bestFit="1" customWidth="1"/>
  </cols>
  <sheetData>
    <row r="1" spans="1:5" x14ac:dyDescent="0.3">
      <c r="A1" s="47" t="s">
        <v>194</v>
      </c>
    </row>
    <row r="2" spans="1:5" x14ac:dyDescent="0.3">
      <c r="A2" s="1" t="s">
        <v>1</v>
      </c>
      <c r="B2" s="28" t="s">
        <v>137</v>
      </c>
      <c r="C2" s="1" t="s">
        <v>2</v>
      </c>
      <c r="D2" s="1" t="s">
        <v>3</v>
      </c>
      <c r="E2" s="1" t="s">
        <v>4</v>
      </c>
    </row>
    <row r="3" spans="1:5" x14ac:dyDescent="0.3">
      <c r="A3" s="3" t="s">
        <v>5</v>
      </c>
      <c r="B3" s="6">
        <v>12300</v>
      </c>
      <c r="C3" s="6">
        <v>12664</v>
      </c>
      <c r="D3" s="6">
        <v>14495</v>
      </c>
      <c r="E3" s="6">
        <v>13850</v>
      </c>
    </row>
    <row r="4" spans="1:5" x14ac:dyDescent="0.3">
      <c r="A4" s="3" t="s">
        <v>6</v>
      </c>
      <c r="B4" s="6">
        <v>10152</v>
      </c>
      <c r="C4" s="6">
        <v>10354</v>
      </c>
      <c r="D4" s="6">
        <v>12123</v>
      </c>
      <c r="E4" s="6">
        <v>11352</v>
      </c>
    </row>
    <row r="5" spans="1:5" x14ac:dyDescent="0.3">
      <c r="A5" s="3" t="s">
        <v>7</v>
      </c>
      <c r="B5" s="6">
        <v>870</v>
      </c>
      <c r="C5" s="6">
        <v>886</v>
      </c>
      <c r="D5" s="6">
        <v>850</v>
      </c>
      <c r="E5" s="6">
        <v>867</v>
      </c>
    </row>
    <row r="6" spans="1:5" x14ac:dyDescent="0.3">
      <c r="A6" s="3" t="s">
        <v>8</v>
      </c>
      <c r="B6" s="6">
        <v>250</v>
      </c>
      <c r="C6" s="6">
        <v>243</v>
      </c>
      <c r="D6" s="6">
        <v>257</v>
      </c>
      <c r="E6" s="6">
        <v>288</v>
      </c>
    </row>
    <row r="7" spans="1:5" x14ac:dyDescent="0.3">
      <c r="A7" s="3" t="s">
        <v>9</v>
      </c>
      <c r="B7" s="6">
        <v>91</v>
      </c>
      <c r="C7" s="6">
        <v>102</v>
      </c>
      <c r="D7" s="6">
        <v>23</v>
      </c>
      <c r="E7" s="6">
        <v>51</v>
      </c>
    </row>
    <row r="8" spans="1:5" x14ac:dyDescent="0.3">
      <c r="A8" s="3" t="s">
        <v>10</v>
      </c>
      <c r="B8" s="6">
        <v>937</v>
      </c>
      <c r="C8" s="6">
        <v>1079</v>
      </c>
      <c r="D8" s="6">
        <v>1242</v>
      </c>
      <c r="E8" s="6">
        <v>1292</v>
      </c>
    </row>
    <row r="9" spans="1:5" x14ac:dyDescent="0.3">
      <c r="A9" s="3" t="s">
        <v>11</v>
      </c>
      <c r="B9" s="6">
        <v>28</v>
      </c>
      <c r="C9" s="6">
        <v>31</v>
      </c>
      <c r="D9" s="6">
        <v>22</v>
      </c>
      <c r="E9" s="6">
        <v>51</v>
      </c>
    </row>
    <row r="10" spans="1:5" x14ac:dyDescent="0.3">
      <c r="A10" s="3" t="s">
        <v>12</v>
      </c>
      <c r="B10" s="6">
        <v>288</v>
      </c>
      <c r="C10" s="6">
        <v>306</v>
      </c>
      <c r="D10" s="6">
        <v>286</v>
      </c>
      <c r="E10" s="6">
        <v>336</v>
      </c>
    </row>
    <row r="11" spans="1:5" x14ac:dyDescent="0.3">
      <c r="A11" s="3" t="s">
        <v>13</v>
      </c>
      <c r="B11" s="6">
        <v>621</v>
      </c>
      <c r="C11" s="6">
        <v>742</v>
      </c>
      <c r="D11" s="6">
        <v>934</v>
      </c>
      <c r="E11" s="6">
        <v>905</v>
      </c>
    </row>
    <row r="12" spans="1:5" x14ac:dyDescent="0.3">
      <c r="A12" s="3" t="s">
        <v>14</v>
      </c>
      <c r="B12" s="6">
        <v>117</v>
      </c>
      <c r="C12" s="6">
        <v>133</v>
      </c>
      <c r="D12" s="6">
        <v>168</v>
      </c>
      <c r="E12" s="6">
        <v>172</v>
      </c>
    </row>
    <row r="13" spans="1:5" x14ac:dyDescent="0.3">
      <c r="A13" s="3" t="s">
        <v>15</v>
      </c>
      <c r="B13" s="6">
        <v>504</v>
      </c>
      <c r="C13" s="6">
        <v>609</v>
      </c>
      <c r="D13" s="6">
        <v>766</v>
      </c>
      <c r="E13" s="6">
        <v>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68A1-5B52-48D6-B249-DD1BC8A1DB96}">
  <dimension ref="A1:E29"/>
  <sheetViews>
    <sheetView topLeftCell="A3" workbookViewId="0">
      <selection activeCell="C3" sqref="C3"/>
    </sheetView>
  </sheetViews>
  <sheetFormatPr defaultRowHeight="14.4" x14ac:dyDescent="0.3"/>
  <cols>
    <col min="1" max="1" width="35.77734375" bestFit="1" customWidth="1"/>
    <col min="2" max="5" width="6" bestFit="1" customWidth="1"/>
  </cols>
  <sheetData>
    <row r="1" spans="1:5" x14ac:dyDescent="0.3">
      <c r="A1" s="47" t="s">
        <v>194</v>
      </c>
    </row>
    <row r="2" spans="1:5" x14ac:dyDescent="0.3">
      <c r="A2" s="1" t="s">
        <v>76</v>
      </c>
      <c r="B2" s="1">
        <v>2024</v>
      </c>
      <c r="C2" s="1" t="s">
        <v>16</v>
      </c>
      <c r="D2" s="1" t="s">
        <v>17</v>
      </c>
      <c r="E2" s="1">
        <v>2021</v>
      </c>
    </row>
    <row r="3" spans="1:5" x14ac:dyDescent="0.3">
      <c r="A3" s="3" t="s">
        <v>18</v>
      </c>
      <c r="B3" s="3">
        <v>865</v>
      </c>
      <c r="C3" s="3">
        <v>1203</v>
      </c>
      <c r="D3" s="3">
        <v>1410</v>
      </c>
      <c r="E3" s="3">
        <v>1091</v>
      </c>
    </row>
    <row r="4" spans="1:5" x14ac:dyDescent="0.3">
      <c r="A4" s="3" t="s">
        <v>19</v>
      </c>
      <c r="B4" s="3">
        <v>1580</v>
      </c>
      <c r="C4" s="3">
        <v>1568</v>
      </c>
      <c r="D4" s="3">
        <v>1777</v>
      </c>
      <c r="E4" s="3">
        <v>1600</v>
      </c>
    </row>
    <row r="5" spans="1:5" x14ac:dyDescent="0.3">
      <c r="A5" s="3" t="s">
        <v>20</v>
      </c>
      <c r="B5" s="3">
        <v>1502</v>
      </c>
      <c r="C5" s="3">
        <v>1557</v>
      </c>
      <c r="D5" s="3">
        <v>1802</v>
      </c>
      <c r="E5" s="3">
        <v>1750</v>
      </c>
    </row>
    <row r="6" spans="1:5" x14ac:dyDescent="0.3">
      <c r="A6" s="3" t="s">
        <v>21</v>
      </c>
      <c r="B6" s="3">
        <v>215</v>
      </c>
      <c r="C6" s="3">
        <v>205</v>
      </c>
      <c r="D6" s="3">
        <v>175</v>
      </c>
      <c r="E6" s="3">
        <v>190</v>
      </c>
    </row>
    <row r="7" spans="1:5" x14ac:dyDescent="0.3">
      <c r="A7" s="3" t="s">
        <v>22</v>
      </c>
      <c r="B7" s="3">
        <v>4162</v>
      </c>
      <c r="C7" s="3">
        <v>4533</v>
      </c>
      <c r="D7" s="3">
        <v>5164</v>
      </c>
      <c r="E7" s="3">
        <v>4631</v>
      </c>
    </row>
    <row r="8" spans="1:5" x14ac:dyDescent="0.3">
      <c r="A8" s="3" t="s">
        <v>23</v>
      </c>
      <c r="B8" s="3">
        <v>4700</v>
      </c>
      <c r="C8" s="3">
        <v>4576</v>
      </c>
      <c r="D8" s="3">
        <v>4342</v>
      </c>
      <c r="E8" s="3">
        <v>4200</v>
      </c>
    </row>
    <row r="9" spans="1:5" x14ac:dyDescent="0.3">
      <c r="A9" s="3" t="s">
        <v>24</v>
      </c>
      <c r="B9" s="3">
        <v>6600</v>
      </c>
      <c r="C9" s="3">
        <v>6684</v>
      </c>
      <c r="D9" s="3">
        <v>6685</v>
      </c>
      <c r="E9" s="3">
        <v>6600</v>
      </c>
    </row>
    <row r="10" spans="1:5" x14ac:dyDescent="0.3">
      <c r="A10" s="3" t="s">
        <v>25</v>
      </c>
      <c r="B10" s="3">
        <v>630</v>
      </c>
      <c r="C10" s="3">
        <v>625</v>
      </c>
      <c r="D10" s="3">
        <v>521</v>
      </c>
      <c r="E10" s="3">
        <v>490</v>
      </c>
    </row>
    <row r="11" spans="1:5" x14ac:dyDescent="0.3">
      <c r="A11" s="3" t="s">
        <v>26</v>
      </c>
      <c r="B11" s="3">
        <v>170</v>
      </c>
      <c r="C11" s="3">
        <v>169</v>
      </c>
      <c r="D11" s="3">
        <v>244</v>
      </c>
      <c r="E11" s="3">
        <v>230</v>
      </c>
    </row>
    <row r="12" spans="1:5" x14ac:dyDescent="0.3">
      <c r="A12" s="3" t="s">
        <v>27</v>
      </c>
      <c r="B12" s="3">
        <v>16613</v>
      </c>
      <c r="C12" s="3">
        <v>16587</v>
      </c>
      <c r="D12" s="3">
        <v>16956</v>
      </c>
      <c r="E12" s="3">
        <v>16151</v>
      </c>
    </row>
    <row r="13" spans="1:5" x14ac:dyDescent="0.3">
      <c r="A13" s="3" t="s">
        <v>28</v>
      </c>
      <c r="B13" s="3">
        <v>1520</v>
      </c>
      <c r="C13" s="3">
        <v>1528</v>
      </c>
      <c r="D13" s="3">
        <v>1795</v>
      </c>
      <c r="E13" s="3">
        <v>1600</v>
      </c>
    </row>
    <row r="14" spans="1:5" x14ac:dyDescent="0.3">
      <c r="A14" s="3" t="s">
        <v>29</v>
      </c>
      <c r="B14" s="3">
        <v>280</v>
      </c>
      <c r="C14" s="3">
        <v>273</v>
      </c>
      <c r="D14" s="3">
        <v>253</v>
      </c>
      <c r="E14" s="3">
        <v>245</v>
      </c>
    </row>
    <row r="15" spans="1:5" x14ac:dyDescent="0.3">
      <c r="A15" s="3" t="s">
        <v>30</v>
      </c>
      <c r="B15" s="3">
        <v>900</v>
      </c>
      <c r="C15" s="3">
        <v>902</v>
      </c>
      <c r="D15" s="3">
        <v>783</v>
      </c>
      <c r="E15" s="3">
        <v>720</v>
      </c>
    </row>
    <row r="16" spans="1:5" x14ac:dyDescent="0.3">
      <c r="A16" s="3" t="s">
        <v>31</v>
      </c>
      <c r="B16" s="3">
        <v>8</v>
      </c>
      <c r="C16" s="3">
        <v>10</v>
      </c>
      <c r="D16" s="3">
        <v>13</v>
      </c>
      <c r="E16" s="3">
        <v>15</v>
      </c>
    </row>
    <row r="17" spans="1:5" x14ac:dyDescent="0.3">
      <c r="A17" s="3" t="s">
        <v>32</v>
      </c>
      <c r="B17" s="3">
        <v>2708</v>
      </c>
      <c r="C17" s="3">
        <v>2713</v>
      </c>
      <c r="D17" s="3">
        <v>2844</v>
      </c>
      <c r="E17" s="3">
        <v>2580</v>
      </c>
    </row>
    <row r="18" spans="1:5" x14ac:dyDescent="0.3">
      <c r="A18" s="3" t="s">
        <v>33</v>
      </c>
      <c r="B18" s="3">
        <v>8315</v>
      </c>
      <c r="C18" s="3">
        <v>8970</v>
      </c>
      <c r="D18" s="3">
        <v>9242</v>
      </c>
      <c r="E18" s="3">
        <v>9200</v>
      </c>
    </row>
    <row r="19" spans="1:5" x14ac:dyDescent="0.3">
      <c r="A19" s="3" t="s">
        <v>34</v>
      </c>
      <c r="B19" s="3">
        <v>555</v>
      </c>
      <c r="C19" s="3">
        <v>573</v>
      </c>
      <c r="D19" s="3">
        <v>707</v>
      </c>
      <c r="E19" s="3">
        <v>650</v>
      </c>
    </row>
    <row r="20" spans="1:5" x14ac:dyDescent="0.3">
      <c r="A20" s="3" t="s">
        <v>35</v>
      </c>
      <c r="B20" s="3">
        <v>180</v>
      </c>
      <c r="C20" s="3">
        <v>193</v>
      </c>
      <c r="D20" s="3">
        <v>160</v>
      </c>
      <c r="E20" s="3">
        <v>155</v>
      </c>
    </row>
    <row r="21" spans="1:5" x14ac:dyDescent="0.3">
      <c r="A21" s="3" t="s">
        <v>36</v>
      </c>
      <c r="B21" s="3">
        <v>495</v>
      </c>
      <c r="C21" s="3">
        <v>525</v>
      </c>
      <c r="D21" s="3">
        <v>429</v>
      </c>
      <c r="E21" s="3">
        <v>400</v>
      </c>
    </row>
    <row r="22" spans="1:5" x14ac:dyDescent="0.3">
      <c r="A22" s="3" t="s">
        <v>37</v>
      </c>
      <c r="B22" s="3">
        <v>752</v>
      </c>
      <c r="C22" s="3">
        <v>397</v>
      </c>
      <c r="D22" s="3">
        <v>378</v>
      </c>
      <c r="E22" s="3">
        <v>350</v>
      </c>
    </row>
    <row r="23" spans="1:5" x14ac:dyDescent="0.3">
      <c r="A23" s="3" t="s">
        <v>38</v>
      </c>
      <c r="B23" s="3">
        <v>13005</v>
      </c>
      <c r="C23" s="3">
        <v>13371</v>
      </c>
      <c r="D23" s="3">
        <v>13760</v>
      </c>
      <c r="E23" s="3">
        <v>13335</v>
      </c>
    </row>
    <row r="24" spans="1:5" x14ac:dyDescent="0.3">
      <c r="A24" s="3" t="s">
        <v>39</v>
      </c>
      <c r="B24" s="3">
        <v>1</v>
      </c>
      <c r="C24" s="3">
        <v>1</v>
      </c>
      <c r="D24" s="3">
        <v>1</v>
      </c>
      <c r="E24" s="3">
        <v>1</v>
      </c>
    </row>
    <row r="25" spans="1:5" x14ac:dyDescent="0.3">
      <c r="A25" s="3" t="s">
        <v>40</v>
      </c>
      <c r="B25" s="3">
        <v>1285</v>
      </c>
      <c r="C25" s="3">
        <v>1231</v>
      </c>
      <c r="D25" s="3">
        <v>1177</v>
      </c>
      <c r="E25" s="3">
        <v>1150</v>
      </c>
    </row>
    <row r="26" spans="1:5" x14ac:dyDescent="0.3">
      <c r="A26" s="3" t="s">
        <v>41</v>
      </c>
      <c r="B26" s="3">
        <v>2720</v>
      </c>
      <c r="C26" s="3">
        <v>2320</v>
      </c>
      <c r="D26" s="3">
        <v>2421</v>
      </c>
      <c r="E26" s="3">
        <v>2250</v>
      </c>
    </row>
    <row r="27" spans="1:5" x14ac:dyDescent="0.3">
      <c r="A27" s="3" t="s">
        <v>42</v>
      </c>
      <c r="B27" s="3">
        <v>-398</v>
      </c>
      <c r="C27" s="3">
        <v>-336</v>
      </c>
      <c r="D27" s="3">
        <v>-403</v>
      </c>
      <c r="E27" s="3">
        <v>-435</v>
      </c>
    </row>
    <row r="28" spans="1:5" x14ac:dyDescent="0.3">
      <c r="A28" s="3" t="s">
        <v>43</v>
      </c>
      <c r="B28" s="3">
        <v>3608</v>
      </c>
      <c r="C28" s="3">
        <v>3216</v>
      </c>
      <c r="D28" s="3">
        <v>3196</v>
      </c>
      <c r="E28" s="3">
        <v>2966</v>
      </c>
    </row>
    <row r="29" spans="1:5" x14ac:dyDescent="0.3">
      <c r="A29" s="3" t="s">
        <v>44</v>
      </c>
      <c r="B29" s="3">
        <v>16613</v>
      </c>
      <c r="C29" s="3">
        <v>16587</v>
      </c>
      <c r="D29" s="3">
        <v>16956</v>
      </c>
      <c r="E29" s="3">
        <v>16151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35E4-0708-4925-AB18-5F2C996574AB}">
  <dimension ref="A1:E29"/>
  <sheetViews>
    <sheetView workbookViewId="0"/>
  </sheetViews>
  <sheetFormatPr defaultRowHeight="14.4" x14ac:dyDescent="0.3"/>
  <cols>
    <col min="1" max="1" width="41" bestFit="1" customWidth="1"/>
    <col min="2" max="3" width="17.88671875" bestFit="1" customWidth="1"/>
    <col min="4" max="5" width="14.33203125" bestFit="1" customWidth="1"/>
  </cols>
  <sheetData>
    <row r="1" spans="1:5" x14ac:dyDescent="0.3">
      <c r="A1" s="47" t="s">
        <v>194</v>
      </c>
    </row>
    <row r="2" spans="1:5" x14ac:dyDescent="0.3">
      <c r="A2" s="1" t="s">
        <v>45</v>
      </c>
      <c r="B2" s="28" t="s">
        <v>137</v>
      </c>
      <c r="C2" s="1" t="s">
        <v>2</v>
      </c>
      <c r="D2" s="1" t="s">
        <v>3</v>
      </c>
      <c r="E2" s="1" t="s">
        <v>4</v>
      </c>
    </row>
    <row r="3" spans="1:5" x14ac:dyDescent="0.3">
      <c r="A3" s="3" t="s">
        <v>15</v>
      </c>
      <c r="B3" s="3">
        <v>504</v>
      </c>
      <c r="C3" s="3">
        <v>609</v>
      </c>
      <c r="D3" s="3">
        <v>766</v>
      </c>
      <c r="E3" s="3">
        <v>733</v>
      </c>
    </row>
    <row r="4" spans="1:5" x14ac:dyDescent="0.3">
      <c r="A4" s="3" t="s">
        <v>46</v>
      </c>
      <c r="B4" s="3">
        <v>560</v>
      </c>
      <c r="C4" s="3">
        <v>575</v>
      </c>
      <c r="D4" s="3">
        <v>562</v>
      </c>
      <c r="E4" s="3">
        <v>566</v>
      </c>
    </row>
    <row r="5" spans="1:5" x14ac:dyDescent="0.3">
      <c r="A5" s="3" t="s">
        <v>8</v>
      </c>
      <c r="B5" s="3">
        <v>250</v>
      </c>
      <c r="C5" s="3">
        <v>243</v>
      </c>
      <c r="D5" s="3">
        <v>257</v>
      </c>
      <c r="E5" s="3">
        <v>288</v>
      </c>
    </row>
    <row r="6" spans="1:5" x14ac:dyDescent="0.3">
      <c r="A6" s="3" t="s">
        <v>47</v>
      </c>
      <c r="B6" s="3">
        <v>5</v>
      </c>
      <c r="C6" s="3">
        <v>-61</v>
      </c>
      <c r="D6" s="3">
        <v>6</v>
      </c>
      <c r="E6" s="3">
        <v>5</v>
      </c>
    </row>
    <row r="7" spans="1:5" x14ac:dyDescent="0.3">
      <c r="A7" s="3" t="s">
        <v>48</v>
      </c>
      <c r="B7" s="3">
        <v>44</v>
      </c>
      <c r="C7" s="3">
        <v>42</v>
      </c>
      <c r="D7" s="3">
        <v>39</v>
      </c>
      <c r="E7" s="3">
        <v>38</v>
      </c>
    </row>
    <row r="8" spans="1:5" x14ac:dyDescent="0.3">
      <c r="A8" s="3" t="s">
        <v>49</v>
      </c>
      <c r="B8" s="3">
        <v>-89</v>
      </c>
      <c r="C8" s="3">
        <v>-117</v>
      </c>
      <c r="D8" s="3">
        <v>-48</v>
      </c>
      <c r="E8" s="3">
        <v>-52</v>
      </c>
    </row>
    <row r="9" spans="1:5" x14ac:dyDescent="0.3">
      <c r="A9" s="3" t="s">
        <v>50</v>
      </c>
      <c r="B9" s="3">
        <v>16</v>
      </c>
      <c r="C9" s="3">
        <v>22</v>
      </c>
      <c r="D9" s="3">
        <v>-22</v>
      </c>
      <c r="E9" s="3">
        <v>-10</v>
      </c>
    </row>
    <row r="10" spans="1:5" x14ac:dyDescent="0.3">
      <c r="A10" s="3" t="s">
        <v>51</v>
      </c>
      <c r="B10" s="3">
        <v>26</v>
      </c>
      <c r="C10" s="3">
        <v>36</v>
      </c>
      <c r="D10" s="3">
        <v>201</v>
      </c>
      <c r="E10" s="3">
        <v>185</v>
      </c>
    </row>
    <row r="11" spans="1:5" x14ac:dyDescent="0.3">
      <c r="A11" s="3" t="s">
        <v>19</v>
      </c>
      <c r="B11" s="3">
        <v>-20</v>
      </c>
      <c r="C11" s="3">
        <v>294</v>
      </c>
      <c r="D11" s="3">
        <v>-86</v>
      </c>
      <c r="E11" s="3">
        <v>-70</v>
      </c>
    </row>
    <row r="12" spans="1:5" x14ac:dyDescent="0.3">
      <c r="A12" s="3" t="s">
        <v>20</v>
      </c>
      <c r="B12" s="3">
        <v>30</v>
      </c>
      <c r="C12" s="3">
        <v>343</v>
      </c>
      <c r="D12" s="3">
        <v>-3</v>
      </c>
      <c r="E12" s="3">
        <v>-10</v>
      </c>
    </row>
    <row r="13" spans="1:5" x14ac:dyDescent="0.3">
      <c r="A13" s="3" t="s">
        <v>52</v>
      </c>
      <c r="B13" s="3">
        <v>-15</v>
      </c>
      <c r="C13" s="3">
        <v>1</v>
      </c>
      <c r="D13" s="3">
        <v>11</v>
      </c>
      <c r="E13" s="3">
        <v>15</v>
      </c>
    </row>
    <row r="14" spans="1:5" x14ac:dyDescent="0.3">
      <c r="A14" s="3" t="s">
        <v>53</v>
      </c>
      <c r="B14" s="3">
        <v>-4</v>
      </c>
      <c r="C14" s="3">
        <v>-372</v>
      </c>
      <c r="D14" s="3">
        <v>-120</v>
      </c>
      <c r="E14" s="3">
        <v>-90</v>
      </c>
    </row>
    <row r="15" spans="1:5" x14ac:dyDescent="0.3">
      <c r="A15" s="3" t="s">
        <v>54</v>
      </c>
      <c r="B15" s="3">
        <v>-1</v>
      </c>
      <c r="C15" s="3">
        <v>1615</v>
      </c>
      <c r="D15" s="3">
        <v>1563</v>
      </c>
      <c r="E15" s="3">
        <v>1608</v>
      </c>
    </row>
    <row r="16" spans="1:5" x14ac:dyDescent="0.3">
      <c r="A16" s="3" t="s">
        <v>55</v>
      </c>
      <c r="B16" s="3">
        <v>-286</v>
      </c>
      <c r="C16" s="3">
        <v>-689</v>
      </c>
      <c r="D16" s="3">
        <v>-687</v>
      </c>
      <c r="E16" s="3">
        <v>-650</v>
      </c>
    </row>
    <row r="17" spans="1:5" x14ac:dyDescent="0.3">
      <c r="A17" s="3" t="s">
        <v>56</v>
      </c>
      <c r="B17" s="3">
        <v>0</v>
      </c>
      <c r="C17" s="3">
        <v>-87</v>
      </c>
      <c r="D17" s="3">
        <v>0</v>
      </c>
      <c r="E17" s="3">
        <v>-300</v>
      </c>
    </row>
    <row r="18" spans="1:5" x14ac:dyDescent="0.3">
      <c r="A18" s="3" t="s">
        <v>57</v>
      </c>
      <c r="B18" s="3">
        <v>-286</v>
      </c>
      <c r="C18" s="3">
        <v>-776</v>
      </c>
      <c r="D18" s="3">
        <v>-483</v>
      </c>
      <c r="E18" s="3">
        <v>-950</v>
      </c>
    </row>
    <row r="19" spans="1:5" x14ac:dyDescent="0.3">
      <c r="A19" s="3" t="s">
        <v>58</v>
      </c>
      <c r="B19" s="3">
        <v>400</v>
      </c>
      <c r="C19" s="3">
        <v>496</v>
      </c>
      <c r="D19" s="3">
        <v>0</v>
      </c>
      <c r="E19" s="3">
        <v>1000</v>
      </c>
    </row>
    <row r="20" spans="1:5" x14ac:dyDescent="0.3">
      <c r="A20" s="3" t="s">
        <v>59</v>
      </c>
      <c r="B20" s="3">
        <v>-590</v>
      </c>
      <c r="C20" s="3">
        <v>-869</v>
      </c>
      <c r="D20" s="3">
        <v>-22</v>
      </c>
      <c r="E20" s="3">
        <v>-200</v>
      </c>
    </row>
    <row r="21" spans="1:5" x14ac:dyDescent="0.3">
      <c r="A21" s="3" t="s">
        <v>60</v>
      </c>
      <c r="B21" s="3">
        <v>48</v>
      </c>
      <c r="C21" s="3">
        <v>36</v>
      </c>
      <c r="D21" s="3">
        <v>27</v>
      </c>
      <c r="E21" s="3">
        <v>30</v>
      </c>
    </row>
    <row r="22" spans="1:5" x14ac:dyDescent="0.3">
      <c r="A22" s="3" t="s">
        <v>61</v>
      </c>
      <c r="B22" s="3">
        <v>-250</v>
      </c>
      <c r="C22" s="3">
        <v>-601</v>
      </c>
      <c r="D22" s="3">
        <v>-709</v>
      </c>
      <c r="E22" s="3">
        <v>-650</v>
      </c>
    </row>
    <row r="23" spans="1:5" x14ac:dyDescent="0.3">
      <c r="A23" s="3" t="s">
        <v>62</v>
      </c>
      <c r="B23" s="3">
        <v>-50</v>
      </c>
      <c r="C23" s="3">
        <v>-127</v>
      </c>
      <c r="D23" s="3">
        <v>-127</v>
      </c>
      <c r="E23" s="3">
        <v>-125</v>
      </c>
    </row>
    <row r="24" spans="1:5" x14ac:dyDescent="0.3">
      <c r="A24" s="3" t="s">
        <v>63</v>
      </c>
      <c r="B24" s="3">
        <v>-21</v>
      </c>
      <c r="C24" s="3">
        <v>-6</v>
      </c>
      <c r="D24" s="3">
        <v>0</v>
      </c>
      <c r="E24" s="3">
        <v>-5</v>
      </c>
    </row>
    <row r="25" spans="1:5" x14ac:dyDescent="0.3">
      <c r="A25" s="3" t="s">
        <v>64</v>
      </c>
      <c r="B25" s="3">
        <v>-490</v>
      </c>
      <c r="C25" s="3">
        <v>-1071</v>
      </c>
      <c r="D25" s="3">
        <v>-704</v>
      </c>
      <c r="E25" s="3">
        <v>50</v>
      </c>
    </row>
    <row r="26" spans="1:5" x14ac:dyDescent="0.3">
      <c r="A26" s="3" t="s">
        <v>65</v>
      </c>
      <c r="B26" s="3">
        <v>-4</v>
      </c>
      <c r="C26" s="3">
        <v>25</v>
      </c>
      <c r="D26" s="3">
        <v>-57</v>
      </c>
      <c r="E26" s="3">
        <v>-20</v>
      </c>
    </row>
    <row r="27" spans="1:5" x14ac:dyDescent="0.3">
      <c r="A27" s="3" t="s">
        <v>66</v>
      </c>
      <c r="B27" s="3">
        <v>-781</v>
      </c>
      <c r="C27" s="3">
        <v>-207</v>
      </c>
      <c r="D27" s="3">
        <v>319</v>
      </c>
      <c r="E27" s="3">
        <v>688</v>
      </c>
    </row>
    <row r="28" spans="1:5" x14ac:dyDescent="0.3">
      <c r="A28" s="3" t="s">
        <v>67</v>
      </c>
      <c r="B28" s="3">
        <v>1270</v>
      </c>
      <c r="C28" s="3">
        <v>1410</v>
      </c>
      <c r="D28" s="3">
        <v>1091</v>
      </c>
      <c r="E28" s="3">
        <v>403</v>
      </c>
    </row>
    <row r="29" spans="1:5" x14ac:dyDescent="0.3">
      <c r="A29" s="3" t="s">
        <v>68</v>
      </c>
      <c r="B29" s="3">
        <v>494</v>
      </c>
      <c r="C29" s="3">
        <v>1203</v>
      </c>
      <c r="D29" s="3">
        <v>1410</v>
      </c>
      <c r="E29" s="3">
        <v>1091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A669D-C82B-43B1-8FC5-20A930567A1C}">
  <dimension ref="A1:N61"/>
  <sheetViews>
    <sheetView topLeftCell="A13" zoomScale="92" workbookViewId="0">
      <selection activeCell="B7" sqref="B7"/>
    </sheetView>
  </sheetViews>
  <sheetFormatPr defaultRowHeight="14.4" x14ac:dyDescent="0.3"/>
  <cols>
    <col min="1" max="1" width="55.6640625" bestFit="1" customWidth="1"/>
    <col min="2" max="2" width="13.109375" bestFit="1" customWidth="1"/>
    <col min="3" max="5" width="12.5546875" bestFit="1" customWidth="1"/>
    <col min="6" max="6" width="12.109375" bestFit="1" customWidth="1"/>
    <col min="7" max="7" width="12.5546875" bestFit="1" customWidth="1"/>
    <col min="8" max="8" width="12.109375" bestFit="1" customWidth="1"/>
    <col min="9" max="9" width="12.5546875" bestFit="1" customWidth="1"/>
  </cols>
  <sheetData>
    <row r="1" spans="1:14" x14ac:dyDescent="0.3">
      <c r="A1" s="36" t="s">
        <v>187</v>
      </c>
      <c r="B1" s="37"/>
      <c r="C1" s="37"/>
      <c r="D1" s="37"/>
      <c r="E1" s="37"/>
      <c r="F1" s="37"/>
      <c r="G1" s="37"/>
      <c r="H1" s="37"/>
      <c r="I1" s="37"/>
    </row>
    <row r="3" spans="1:14" x14ac:dyDescent="0.3">
      <c r="A3" t="s">
        <v>69</v>
      </c>
      <c r="B3" s="9">
        <v>0.04</v>
      </c>
      <c r="C3" s="11" t="s">
        <v>90</v>
      </c>
    </row>
    <row r="4" spans="1:14" x14ac:dyDescent="0.3">
      <c r="A4" t="s">
        <v>70</v>
      </c>
      <c r="B4" s="10">
        <f>'DCF Calculation'!B3</f>
        <v>0.20259128386336867</v>
      </c>
    </row>
    <row r="5" spans="1:14" x14ac:dyDescent="0.3">
      <c r="A5" t="s">
        <v>71</v>
      </c>
      <c r="B5" s="10">
        <f>'DCF Calculation'!B21</f>
        <v>5.062189792864949E-2</v>
      </c>
    </row>
    <row r="6" spans="1:14" x14ac:dyDescent="0.3">
      <c r="A6" t="s">
        <v>72</v>
      </c>
      <c r="B6" s="4">
        <f>'DCF Calculation'!B36+'DCF Calculation'!B37</f>
        <v>10498</v>
      </c>
    </row>
    <row r="7" spans="1:14" x14ac:dyDescent="0.3">
      <c r="A7" t="s">
        <v>74</v>
      </c>
      <c r="B7" s="4">
        <f>'DCF Calculation'!B38</f>
        <v>-1203</v>
      </c>
    </row>
    <row r="8" spans="1:14" x14ac:dyDescent="0.3">
      <c r="A8" t="s">
        <v>75</v>
      </c>
      <c r="B8" s="15">
        <f>D27</f>
        <v>689</v>
      </c>
    </row>
    <row r="11" spans="1:14" x14ac:dyDescent="0.3">
      <c r="A11" s="38" t="s">
        <v>188</v>
      </c>
      <c r="B11" s="39"/>
      <c r="C11" s="39"/>
      <c r="D11" s="39"/>
      <c r="E11" s="39"/>
      <c r="F11" s="39"/>
      <c r="G11" s="39"/>
      <c r="H11" s="39"/>
      <c r="I11" s="39"/>
    </row>
    <row r="12" spans="1:14" x14ac:dyDescent="0.3">
      <c r="A12" s="47" t="s">
        <v>194</v>
      </c>
      <c r="B12" s="40"/>
      <c r="C12" s="40"/>
      <c r="D12" s="40"/>
      <c r="E12" s="40"/>
      <c r="F12" s="40"/>
      <c r="G12" s="40"/>
      <c r="H12" s="40"/>
      <c r="I12" s="40"/>
    </row>
    <row r="13" spans="1:14" x14ac:dyDescent="0.3">
      <c r="A13" s="30" t="s">
        <v>76</v>
      </c>
      <c r="B13" s="17" t="s">
        <v>84</v>
      </c>
      <c r="C13" s="17" t="s">
        <v>85</v>
      </c>
      <c r="D13" s="17" t="s">
        <v>86</v>
      </c>
      <c r="E13" s="17" t="s">
        <v>139</v>
      </c>
      <c r="F13" s="17" t="s">
        <v>88</v>
      </c>
      <c r="G13" s="17" t="s">
        <v>89</v>
      </c>
      <c r="H13" s="17" t="s">
        <v>87</v>
      </c>
      <c r="I13" s="17" t="s">
        <v>138</v>
      </c>
    </row>
    <row r="14" spans="1:14" x14ac:dyDescent="0.3">
      <c r="A14" s="30" t="s">
        <v>0</v>
      </c>
      <c r="B14" s="6">
        <f>'Income Statement'!E3</f>
        <v>13850</v>
      </c>
      <c r="C14" s="6">
        <f>'Income Statement'!D3</f>
        <v>14495</v>
      </c>
      <c r="D14" s="6">
        <f>'Income Statement'!C3</f>
        <v>12664</v>
      </c>
      <c r="E14" s="6">
        <f>'Income Statement'!B3</f>
        <v>12300</v>
      </c>
      <c r="F14" s="6">
        <f>D14*(1+F15)</f>
        <v>13170.560000000001</v>
      </c>
      <c r="G14" s="6">
        <f>F14*(1+G15)</f>
        <v>13664.456000000002</v>
      </c>
      <c r="H14" s="6">
        <f t="shared" ref="H14:I14" si="0">G14*(1+H15)</f>
        <v>14142.711960000001</v>
      </c>
      <c r="I14" s="6">
        <f t="shared" si="0"/>
        <v>14602.350098700001</v>
      </c>
      <c r="K14" s="9"/>
    </row>
    <row r="15" spans="1:14" x14ac:dyDescent="0.3">
      <c r="A15" s="31" t="s">
        <v>77</v>
      </c>
      <c r="B15" s="3"/>
      <c r="C15" s="13">
        <f>(C14/B14)-1</f>
        <v>4.6570397111913353E-2</v>
      </c>
      <c r="D15" s="13">
        <f>(D14/C14)-1</f>
        <v>-0.12631942048982403</v>
      </c>
      <c r="E15" s="13">
        <f>(E14/D14)-1</f>
        <v>-2.8742893240682243E-2</v>
      </c>
      <c r="F15" s="12">
        <f>B3</f>
        <v>0.04</v>
      </c>
      <c r="G15" s="12">
        <f>F15-0.0025</f>
        <v>3.7499999999999999E-2</v>
      </c>
      <c r="H15" s="12">
        <f>G15-0.0025</f>
        <v>3.4999999999999996E-2</v>
      </c>
      <c r="I15" s="12">
        <f>H15-0.0025</f>
        <v>3.2499999999999994E-2</v>
      </c>
      <c r="K15" s="27"/>
      <c r="L15" s="27"/>
      <c r="M15" s="27"/>
      <c r="N15" s="27"/>
    </row>
    <row r="16" spans="1:14" x14ac:dyDescent="0.3">
      <c r="A16" s="17" t="s">
        <v>6</v>
      </c>
      <c r="B16" s="6">
        <f>'Income Statement'!E4</f>
        <v>11352</v>
      </c>
      <c r="C16" s="6">
        <f>'Income Statement'!D4</f>
        <v>12123</v>
      </c>
      <c r="D16" s="6">
        <f>'Income Statement'!C4</f>
        <v>10354</v>
      </c>
      <c r="E16" s="6">
        <f>'Income Statement'!B4</f>
        <v>10152</v>
      </c>
      <c r="F16" s="6">
        <f>F14*D17</f>
        <v>10768.160000000002</v>
      </c>
      <c r="G16" s="6">
        <f>G14*F17</f>
        <v>11201.285395895407</v>
      </c>
      <c r="H16" s="6">
        <f>H14*G17</f>
        <v>11522.616824951745</v>
      </c>
      <c r="I16" s="6">
        <f>I14*H17</f>
        <v>11824.090121269177</v>
      </c>
    </row>
    <row r="17" spans="1:11" x14ac:dyDescent="0.3">
      <c r="A17" s="31" t="s">
        <v>78</v>
      </c>
      <c r="B17" s="13">
        <f>B16/B14</f>
        <v>0.81963898916967504</v>
      </c>
      <c r="C17" s="13">
        <f t="shared" ref="C17" si="1">C16/C14</f>
        <v>0.83635736460848564</v>
      </c>
      <c r="D17" s="13">
        <f>D16/D14</f>
        <v>0.81759317751105498</v>
      </c>
      <c r="E17" s="13">
        <f>E16/E14</f>
        <v>0.82536585365853654</v>
      </c>
      <c r="F17" s="12">
        <f>AVERAGE(B17:E17) - 0.005</f>
        <v>0.81973884623693805</v>
      </c>
      <c r="G17" s="12">
        <f>F17-0.005</f>
        <v>0.81473884623693804</v>
      </c>
      <c r="H17" s="12">
        <f>G17-0.005</f>
        <v>0.80973884623693804</v>
      </c>
      <c r="I17" s="12">
        <f>H17-0.005</f>
        <v>0.80473884623693803</v>
      </c>
    </row>
    <row r="18" spans="1:11" x14ac:dyDescent="0.3">
      <c r="A18" s="30" t="s">
        <v>79</v>
      </c>
      <c r="B18" s="7">
        <f>B14-B16</f>
        <v>2498</v>
      </c>
      <c r="C18" s="7">
        <f t="shared" ref="C18:I18" si="2">C14-C16</f>
        <v>2372</v>
      </c>
      <c r="D18" s="7">
        <f t="shared" si="2"/>
        <v>2310</v>
      </c>
      <c r="E18" s="7">
        <f>E14-E16</f>
        <v>2148</v>
      </c>
      <c r="F18" s="7">
        <f t="shared" si="2"/>
        <v>2402.3999999999996</v>
      </c>
      <c r="G18" s="7">
        <f t="shared" si="2"/>
        <v>2463.1706041045945</v>
      </c>
      <c r="H18" s="7">
        <f t="shared" si="2"/>
        <v>2620.0951350482555</v>
      </c>
      <c r="I18" s="7">
        <f t="shared" si="2"/>
        <v>2778.2599774308237</v>
      </c>
    </row>
    <row r="19" spans="1:11" x14ac:dyDescent="0.3">
      <c r="A19" s="31" t="s">
        <v>78</v>
      </c>
      <c r="B19" s="13">
        <f>B18/B14</f>
        <v>0.18036101083032491</v>
      </c>
      <c r="C19" s="13">
        <f t="shared" ref="C19" si="3">C18/C14</f>
        <v>0.1636426353915143</v>
      </c>
      <c r="D19" s="13">
        <f t="shared" ref="D19:I19" si="4">D18/D14</f>
        <v>0.18240682248894505</v>
      </c>
      <c r="E19" s="13">
        <f t="shared" si="4"/>
        <v>0.1746341463414634</v>
      </c>
      <c r="F19" s="13">
        <f>F18/F14</f>
        <v>0.18240682248894499</v>
      </c>
      <c r="G19" s="13">
        <f t="shared" si="4"/>
        <v>0.18026115376306193</v>
      </c>
      <c r="H19" s="13">
        <f t="shared" si="4"/>
        <v>0.18526115376306196</v>
      </c>
      <c r="I19" s="13">
        <f t="shared" si="4"/>
        <v>0.19026115376306196</v>
      </c>
    </row>
    <row r="20" spans="1:11" x14ac:dyDescent="0.3">
      <c r="A20" s="30" t="s">
        <v>80</v>
      </c>
      <c r="B20" s="8">
        <f>'Income Statement'!E5</f>
        <v>867</v>
      </c>
      <c r="C20" s="8">
        <f>'Income Statement'!D5</f>
        <v>850</v>
      </c>
      <c r="D20" s="8">
        <f>'Income Statement'!C5</f>
        <v>886</v>
      </c>
      <c r="E20" s="8">
        <f>'Income Statement'!B5</f>
        <v>870</v>
      </c>
      <c r="F20" s="8">
        <f>F14*F21</f>
        <v>862.45434349483605</v>
      </c>
      <c r="G20" s="8">
        <f>G14*G21</f>
        <v>928.9575213758925</v>
      </c>
      <c r="H20" s="8">
        <f t="shared" ref="H20:I20" si="5">H14*H21</f>
        <v>996.82781452404868</v>
      </c>
      <c r="I20" s="8">
        <f t="shared" si="5"/>
        <v>1065.7305937428303</v>
      </c>
      <c r="K20" s="14"/>
    </row>
    <row r="21" spans="1:11" x14ac:dyDescent="0.3">
      <c r="A21" s="31" t="s">
        <v>78</v>
      </c>
      <c r="B21" s="13">
        <f>B20/B14</f>
        <v>6.2599277978339349E-2</v>
      </c>
      <c r="C21" s="13">
        <f>C20/C14</f>
        <v>5.8640910658847877E-2</v>
      </c>
      <c r="D21" s="13">
        <f>D20/D14</f>
        <v>6.9962097283638655E-2</v>
      </c>
      <c r="E21" s="13">
        <f>E20/E14</f>
        <v>7.0731707317073164E-2</v>
      </c>
      <c r="F21" s="12">
        <f>AVERAGE(B21:E21)</f>
        <v>6.5483498309474766E-2</v>
      </c>
      <c r="G21" s="12">
        <f>F21+0.0025</f>
        <v>6.7983498309474769E-2</v>
      </c>
      <c r="H21" s="12">
        <f>G21+0.0025</f>
        <v>7.0483498309474771E-2</v>
      </c>
      <c r="I21" s="12">
        <f>H21+0.0025</f>
        <v>7.2983498309474773E-2</v>
      </c>
    </row>
    <row r="22" spans="1:11" x14ac:dyDescent="0.3">
      <c r="A22" s="30" t="s">
        <v>81</v>
      </c>
      <c r="B22" s="8">
        <f>'Cash Flow Statement'!E4</f>
        <v>566</v>
      </c>
      <c r="C22" s="8">
        <f>'Cash Flow Statement'!D4</f>
        <v>562</v>
      </c>
      <c r="D22" s="8">
        <f>'Cash Flow Statement'!C4</f>
        <v>575</v>
      </c>
      <c r="E22" s="8">
        <f>'Cash Flow Statement'!B4</f>
        <v>560</v>
      </c>
      <c r="F22" s="8">
        <f>AVERAGE(B22:D22)</f>
        <v>567.66666666666663</v>
      </c>
      <c r="G22" s="8">
        <f>AVERAGE(B22:F22)</f>
        <v>566.13333333333333</v>
      </c>
      <c r="H22" s="8">
        <f>AVERAGE(B22:G22)</f>
        <v>566.13333333333333</v>
      </c>
      <c r="I22" s="8">
        <f>AVERAGE(B22:H22)</f>
        <v>566.13333333333333</v>
      </c>
    </row>
    <row r="23" spans="1:11" x14ac:dyDescent="0.3">
      <c r="A23" s="31" t="s">
        <v>78</v>
      </c>
      <c r="B23" s="13">
        <f>B22/B14</f>
        <v>4.0866425992779787E-2</v>
      </c>
      <c r="C23" s="13">
        <f t="shared" ref="C23" si="6">C22/C14</f>
        <v>3.8771990341497066E-2</v>
      </c>
      <c r="D23" s="13">
        <f t="shared" ref="D23:I23" si="7">D22/D14</f>
        <v>4.5404295641187621E-2</v>
      </c>
      <c r="E23" s="13">
        <f t="shared" si="7"/>
        <v>4.5528455284552849E-2</v>
      </c>
      <c r="F23" s="13">
        <f t="shared" si="7"/>
        <v>4.3101179195620121E-2</v>
      </c>
      <c r="G23" s="13">
        <f t="shared" si="7"/>
        <v>4.1431091975658106E-2</v>
      </c>
      <c r="H23" s="13">
        <f t="shared" si="7"/>
        <v>4.0030040556191408E-2</v>
      </c>
      <c r="I23" s="13">
        <f t="shared" si="7"/>
        <v>3.8770015066529211E-2</v>
      </c>
    </row>
    <row r="24" spans="1:11" x14ac:dyDescent="0.3">
      <c r="A24" s="30" t="s">
        <v>82</v>
      </c>
      <c r="B24" s="8">
        <f>B20+B22</f>
        <v>1433</v>
      </c>
      <c r="C24" s="8">
        <f t="shared" ref="C24:I24" si="8">C20+C22</f>
        <v>1412</v>
      </c>
      <c r="D24" s="8">
        <f>D20+D22</f>
        <v>1461</v>
      </c>
      <c r="E24" s="8">
        <f>E20+E22</f>
        <v>1430</v>
      </c>
      <c r="F24" s="8">
        <f>F20+F22</f>
        <v>1430.1210101615027</v>
      </c>
      <c r="G24" s="8">
        <f t="shared" si="8"/>
        <v>1495.0908547092258</v>
      </c>
      <c r="H24" s="8">
        <f t="shared" si="8"/>
        <v>1562.961147857382</v>
      </c>
      <c r="I24" s="8">
        <f t="shared" si="8"/>
        <v>1631.8639270761637</v>
      </c>
    </row>
    <row r="25" spans="1:11" x14ac:dyDescent="0.3">
      <c r="A25" s="30" t="s">
        <v>83</v>
      </c>
      <c r="B25" s="7">
        <f>B18-B24</f>
        <v>1065</v>
      </c>
      <c r="C25" s="7">
        <f t="shared" ref="C25" si="9">C18-C24</f>
        <v>960</v>
      </c>
      <c r="D25" s="7">
        <f t="shared" ref="D25:I25" si="10">D18-D24</f>
        <v>849</v>
      </c>
      <c r="E25" s="7">
        <f t="shared" si="10"/>
        <v>718</v>
      </c>
      <c r="F25" s="7">
        <f t="shared" si="10"/>
        <v>972.27898983849695</v>
      </c>
      <c r="G25" s="7">
        <f t="shared" si="10"/>
        <v>968.07974939536871</v>
      </c>
      <c r="H25" s="7">
        <f t="shared" si="10"/>
        <v>1057.1339871908735</v>
      </c>
      <c r="I25" s="7">
        <f t="shared" si="10"/>
        <v>1146.39605035466</v>
      </c>
    </row>
    <row r="26" spans="1:11" x14ac:dyDescent="0.3">
      <c r="A26" s="30"/>
      <c r="B26" s="3"/>
      <c r="C26" s="3"/>
      <c r="D26" s="3"/>
      <c r="E26" s="3"/>
      <c r="F26" s="3"/>
      <c r="G26" s="3"/>
      <c r="H26" s="3"/>
      <c r="I26" s="3"/>
    </row>
    <row r="27" spans="1:11" x14ac:dyDescent="0.3">
      <c r="A27" s="30" t="s">
        <v>73</v>
      </c>
      <c r="B27" s="8">
        <f>-'Cash Flow Statement'!E16</f>
        <v>650</v>
      </c>
      <c r="C27" s="8">
        <f>-'Cash Flow Statement'!D16</f>
        <v>687</v>
      </c>
      <c r="D27" s="8">
        <f>-'Cash Flow Statement'!C16</f>
        <v>689</v>
      </c>
      <c r="E27" s="8">
        <f>'Cash Flow Statement'!B16</f>
        <v>-286</v>
      </c>
      <c r="F27" s="8">
        <f>F28*F14</f>
        <v>413.1644838013155</v>
      </c>
      <c r="G27" s="8">
        <f>G28*G14</f>
        <v>428.65815194386488</v>
      </c>
      <c r="H27" s="8">
        <f>H28*H14</f>
        <v>443.66118726190007</v>
      </c>
      <c r="I27" s="8">
        <f>I28*I14</f>
        <v>458.08017584791185</v>
      </c>
    </row>
    <row r="28" spans="1:11" x14ac:dyDescent="0.3">
      <c r="A28" s="31" t="s">
        <v>78</v>
      </c>
      <c r="B28" s="13">
        <f>B27/B14</f>
        <v>4.6931407942238268E-2</v>
      </c>
      <c r="C28" s="13">
        <f t="shared" ref="C28" si="11">C27/C14</f>
        <v>4.7395653673680579E-2</v>
      </c>
      <c r="D28" s="13">
        <f>D27/D14</f>
        <v>5.4406190777005682E-2</v>
      </c>
      <c r="E28" s="13">
        <f>E27/E14</f>
        <v>-2.3252032520325202E-2</v>
      </c>
      <c r="F28" s="12">
        <f>AVERAGE(B28:E28)</f>
        <v>3.1370304968149833E-2</v>
      </c>
      <c r="G28" s="12">
        <f>AVERAGE(B28:F28)</f>
        <v>3.1370304968149833E-2</v>
      </c>
      <c r="H28" s="12">
        <f>AVERAGE(B28:G28)</f>
        <v>3.1370304968149833E-2</v>
      </c>
      <c r="I28" s="12">
        <f>AVERAGE(B28:H28)</f>
        <v>3.1370304968149833E-2</v>
      </c>
    </row>
    <row r="31" spans="1:11" x14ac:dyDescent="0.3">
      <c r="A31" s="36" t="s">
        <v>189</v>
      </c>
      <c r="B31" s="36"/>
      <c r="C31" s="41"/>
      <c r="D31" s="41"/>
      <c r="E31" s="41"/>
      <c r="F31" s="41"/>
      <c r="G31" s="41"/>
      <c r="H31" s="41"/>
      <c r="I31" s="41"/>
    </row>
    <row r="32" spans="1:11" x14ac:dyDescent="0.3">
      <c r="A32" s="2" t="s">
        <v>115</v>
      </c>
    </row>
    <row r="33" spans="1:9" x14ac:dyDescent="0.3">
      <c r="A33" s="2" t="s">
        <v>116</v>
      </c>
      <c r="B33">
        <v>2025</v>
      </c>
      <c r="C33">
        <v>2026</v>
      </c>
      <c r="D33">
        <v>2027</v>
      </c>
      <c r="E33">
        <v>2028</v>
      </c>
    </row>
    <row r="34" spans="1:9" x14ac:dyDescent="0.3">
      <c r="A34" s="2" t="s">
        <v>117</v>
      </c>
      <c r="B34">
        <v>1</v>
      </c>
      <c r="C34">
        <v>2</v>
      </c>
      <c r="D34">
        <v>3</v>
      </c>
      <c r="E34">
        <v>4</v>
      </c>
    </row>
    <row r="35" spans="1:9" x14ac:dyDescent="0.3">
      <c r="A35" s="2" t="s">
        <v>83</v>
      </c>
      <c r="B35" s="4">
        <f>F25</f>
        <v>972.27898983849695</v>
      </c>
      <c r="C35" s="4">
        <f>G25</f>
        <v>968.07974939536871</v>
      </c>
      <c r="D35" s="4">
        <f>H25</f>
        <v>1057.1339871908735</v>
      </c>
      <c r="E35" s="4">
        <f>I25</f>
        <v>1146.39605035466</v>
      </c>
    </row>
    <row r="36" spans="1:9" x14ac:dyDescent="0.3">
      <c r="A36" s="2" t="s">
        <v>118</v>
      </c>
      <c r="B36" s="4">
        <f>-B35*'DCF Calculation'!B3</f>
        <v>-196.97524882476029</v>
      </c>
      <c r="C36" s="4">
        <f>-C35*'DCF Calculation'!B3</f>
        <v>-196.12451931213593</v>
      </c>
      <c r="D36" s="4">
        <f>-D35*'DCF Calculation'!B3</f>
        <v>-214.16613168060098</v>
      </c>
      <c r="E36" s="4">
        <f>-E35*'DCF Calculation'!B3</f>
        <v>-232.2498476572456</v>
      </c>
    </row>
    <row r="37" spans="1:9" x14ac:dyDescent="0.3">
      <c r="A37" s="2" t="s">
        <v>119</v>
      </c>
      <c r="B37" s="15">
        <f>F22</f>
        <v>567.66666666666663</v>
      </c>
      <c r="C37" s="15">
        <f>G22</f>
        <v>566.13333333333333</v>
      </c>
      <c r="D37" s="15">
        <f>H22</f>
        <v>566.13333333333333</v>
      </c>
      <c r="E37" s="15">
        <f>I22</f>
        <v>566.13333333333333</v>
      </c>
    </row>
    <row r="38" spans="1:9" x14ac:dyDescent="0.3">
      <c r="A38" s="2" t="s">
        <v>120</v>
      </c>
      <c r="B38" s="15">
        <f>-F27</f>
        <v>-413.1644838013155</v>
      </c>
      <c r="C38" s="15">
        <f>-G27</f>
        <v>-428.65815194386488</v>
      </c>
      <c r="D38" s="15">
        <f>-H27</f>
        <v>-443.66118726190007</v>
      </c>
      <c r="E38" s="15">
        <f>-I27</f>
        <v>-458.08017584791185</v>
      </c>
    </row>
    <row r="39" spans="1:9" x14ac:dyDescent="0.3">
      <c r="A39" s="2" t="s">
        <v>121</v>
      </c>
      <c r="B39" s="5">
        <f>'DCF Calculation'!F19</f>
        <v>169.62471544715459</v>
      </c>
      <c r="C39" s="5">
        <f>'DCF Calculation'!G19</f>
        <v>148.43674796748019</v>
      </c>
      <c r="D39" s="5">
        <f>'DCF Calculation'!H19</f>
        <v>106.26728878048743</v>
      </c>
      <c r="E39" s="5">
        <f>'DCF Calculation'!I19</f>
        <v>121.44029468048802</v>
      </c>
    </row>
    <row r="40" spans="1:9" x14ac:dyDescent="0.3">
      <c r="A40" s="23" t="s">
        <v>122</v>
      </c>
      <c r="B40" s="24">
        <f>B36+B37-B38-B39</f>
        <v>614.23118619606726</v>
      </c>
      <c r="C40" s="24">
        <f>C36+C37-C38-C39</f>
        <v>650.23021799758203</v>
      </c>
      <c r="D40" s="24">
        <f t="shared" ref="D40:E40" si="12">D36+D37-D38-D39</f>
        <v>689.36110013414498</v>
      </c>
      <c r="E40" s="24">
        <f t="shared" si="12"/>
        <v>670.52336684351155</v>
      </c>
      <c r="F40" s="22"/>
    </row>
    <row r="41" spans="1:9" x14ac:dyDescent="0.3">
      <c r="A41" s="2" t="s">
        <v>123</v>
      </c>
      <c r="B41" s="25">
        <f>1/(1+'DCF Calculation'!$B$21)^DCF!B34</f>
        <v>0.95181720652458046</v>
      </c>
      <c r="C41" s="25">
        <f>1/(1+'DCF Calculation'!$B$21)^DCF!C34</f>
        <v>0.90595599463625576</v>
      </c>
      <c r="D41" s="25">
        <f>1/(1+'DCF Calculation'!$B$21)^DCF!D34</f>
        <v>0.86230450404887871</v>
      </c>
      <c r="E41" s="25">
        <f>1/(1+'DCF Calculation'!$B$21)^DCF!E34</f>
        <v>0.82075626421736747</v>
      </c>
    </row>
    <row r="42" spans="1:9" x14ac:dyDescent="0.3">
      <c r="A42" s="2" t="s">
        <v>124</v>
      </c>
      <c r="B42" s="26">
        <f>B40*B41</f>
        <v>584.63581180542019</v>
      </c>
      <c r="C42" s="26">
        <f>C40*C41</f>
        <v>589.07996388854883</v>
      </c>
      <c r="D42" s="26">
        <f>D40*D41</f>
        <v>594.43918156176335</v>
      </c>
      <c r="E42" s="26">
        <f>E40*E41</f>
        <v>550.336253640932</v>
      </c>
    </row>
    <row r="43" spans="1:9" x14ac:dyDescent="0.3">
      <c r="A43" s="2"/>
    </row>
    <row r="44" spans="1:9" x14ac:dyDescent="0.3">
      <c r="A44" s="36" t="s">
        <v>190</v>
      </c>
      <c r="B44" s="42"/>
      <c r="C44" s="42"/>
      <c r="D44" s="42"/>
      <c r="E44" s="42"/>
      <c r="F44" s="42"/>
      <c r="G44" s="42"/>
      <c r="H44" s="42"/>
      <c r="I44" s="41"/>
    </row>
    <row r="45" spans="1:9" x14ac:dyDescent="0.3">
      <c r="A45" s="2" t="s">
        <v>125</v>
      </c>
    </row>
    <row r="46" spans="1:9" x14ac:dyDescent="0.3">
      <c r="A46" s="2" t="s">
        <v>126</v>
      </c>
      <c r="B46" s="4">
        <f>E40*(1+B3)/(B5-B3)</f>
        <v>65651.572459227653</v>
      </c>
      <c r="F46" s="26"/>
      <c r="G46" s="10"/>
    </row>
    <row r="47" spans="1:9" x14ac:dyDescent="0.3">
      <c r="A47" s="2" t="s">
        <v>127</v>
      </c>
      <c r="B47" s="4">
        <f>B46/(1+'DCF Calculation'!B21)^DCF!E34</f>
        <v>53883.939351631496</v>
      </c>
    </row>
    <row r="48" spans="1:9" x14ac:dyDescent="0.3">
      <c r="F48" s="26"/>
    </row>
    <row r="49" spans="1:9" x14ac:dyDescent="0.3">
      <c r="A49" s="36" t="s">
        <v>191</v>
      </c>
      <c r="B49" s="42"/>
      <c r="C49" s="42"/>
      <c r="D49" s="42"/>
      <c r="E49" s="42"/>
      <c r="F49" s="42"/>
      <c r="G49" s="42"/>
      <c r="H49" s="42"/>
      <c r="I49" s="41"/>
    </row>
    <row r="50" spans="1:9" x14ac:dyDescent="0.3">
      <c r="A50" t="s">
        <v>133</v>
      </c>
    </row>
    <row r="51" spans="1:9" x14ac:dyDescent="0.3">
      <c r="A51" t="s">
        <v>134</v>
      </c>
      <c r="B51" s="4">
        <f>SUM(B42:E42)</f>
        <v>2318.4912108966646</v>
      </c>
    </row>
    <row r="52" spans="1:9" x14ac:dyDescent="0.3">
      <c r="A52" t="s">
        <v>135</v>
      </c>
      <c r="B52" s="4">
        <f>B47</f>
        <v>53883.939351631496</v>
      </c>
    </row>
    <row r="53" spans="1:9" x14ac:dyDescent="0.3">
      <c r="A53" t="s">
        <v>136</v>
      </c>
      <c r="B53" s="4">
        <f>SUM(B51:B52)</f>
        <v>56202.430562528163</v>
      </c>
    </row>
    <row r="55" spans="1:9" x14ac:dyDescent="0.3">
      <c r="A55" s="36" t="s">
        <v>192</v>
      </c>
      <c r="B55" s="43"/>
      <c r="C55" s="42"/>
      <c r="D55" s="42"/>
      <c r="E55" s="42"/>
      <c r="F55" s="42"/>
      <c r="G55" s="42"/>
      <c r="H55" s="42"/>
      <c r="I55" s="41"/>
    </row>
    <row r="56" spans="1:9" x14ac:dyDescent="0.3">
      <c r="A56" s="2" t="s">
        <v>133</v>
      </c>
      <c r="B56" s="49">
        <f>B53</f>
        <v>56202.430562528163</v>
      </c>
    </row>
    <row r="57" spans="1:9" x14ac:dyDescent="0.3">
      <c r="A57" s="2" t="s">
        <v>141</v>
      </c>
      <c r="B57" s="49">
        <f>B6</f>
        <v>10498</v>
      </c>
    </row>
    <row r="58" spans="1:9" x14ac:dyDescent="0.3">
      <c r="A58" s="2" t="s">
        <v>142</v>
      </c>
      <c r="B58" s="49">
        <f>B7</f>
        <v>-1203</v>
      </c>
    </row>
    <row r="59" spans="1:9" x14ac:dyDescent="0.3">
      <c r="A59" s="2" t="s">
        <v>140</v>
      </c>
      <c r="B59" s="50">
        <f>B56-B57+B58</f>
        <v>44501.430562528163</v>
      </c>
    </row>
    <row r="61" spans="1:9" x14ac:dyDescent="0.3">
      <c r="A61" s="2" t="s">
        <v>110</v>
      </c>
      <c r="B61" s="49">
        <f>B59/'DCF Calculation'!B29</f>
        <v>384.29560071267844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63BE-2BA9-4BEC-BA31-B1D8BB38B0A2}">
  <dimension ref="A1:J39"/>
  <sheetViews>
    <sheetView topLeftCell="A13" workbookViewId="0">
      <selection activeCell="B29" sqref="B29"/>
    </sheetView>
  </sheetViews>
  <sheetFormatPr defaultRowHeight="14.4" x14ac:dyDescent="0.3"/>
  <cols>
    <col min="1" max="1" width="26.44140625" bestFit="1" customWidth="1"/>
    <col min="2" max="2" width="11" bestFit="1" customWidth="1"/>
    <col min="3" max="6" width="10.109375" bestFit="1" customWidth="1"/>
    <col min="7" max="7" width="11.109375" bestFit="1" customWidth="1"/>
    <col min="8" max="9" width="10.109375" bestFit="1" customWidth="1"/>
  </cols>
  <sheetData>
    <row r="1" spans="1:10" x14ac:dyDescent="0.3">
      <c r="A1" s="44" t="s">
        <v>91</v>
      </c>
      <c r="B1" s="45"/>
      <c r="C1" s="45"/>
      <c r="D1" s="45"/>
      <c r="E1" s="45"/>
      <c r="F1" s="45"/>
      <c r="G1" s="45"/>
      <c r="H1" s="45"/>
      <c r="I1" s="45"/>
      <c r="J1" s="45"/>
    </row>
    <row r="3" spans="1:10" x14ac:dyDescent="0.3">
      <c r="A3" s="3" t="s">
        <v>92</v>
      </c>
      <c r="B3" s="13">
        <f>B4/B5</f>
        <v>0.20259128386336867</v>
      </c>
    </row>
    <row r="4" spans="1:10" x14ac:dyDescent="0.3">
      <c r="A4" s="3" t="s">
        <v>93</v>
      </c>
      <c r="B4" s="6">
        <f>'Income Statement'!E12</f>
        <v>172</v>
      </c>
    </row>
    <row r="5" spans="1:10" x14ac:dyDescent="0.3">
      <c r="A5" s="3" t="s">
        <v>83</v>
      </c>
      <c r="B5" s="7">
        <f>DCF!D25</f>
        <v>849</v>
      </c>
    </row>
    <row r="8" spans="1:10" x14ac:dyDescent="0.3">
      <c r="A8" s="3" t="s">
        <v>94</v>
      </c>
      <c r="B8" s="17">
        <v>2021</v>
      </c>
      <c r="C8" s="17">
        <f>B8+1</f>
        <v>2022</v>
      </c>
      <c r="D8" s="17">
        <f t="shared" ref="D8:I8" si="0">C8+1</f>
        <v>2023</v>
      </c>
      <c r="E8" s="17">
        <v>2024</v>
      </c>
      <c r="F8" s="17">
        <f t="shared" ref="F8" si="1">E8+1</f>
        <v>2025</v>
      </c>
      <c r="G8" s="17">
        <f t="shared" ref="G8" si="2">F8+1</f>
        <v>2026</v>
      </c>
      <c r="H8" s="17">
        <f t="shared" ref="H8" si="3">G8+1</f>
        <v>2027</v>
      </c>
      <c r="I8" s="17">
        <f t="shared" si="0"/>
        <v>2028</v>
      </c>
    </row>
    <row r="9" spans="1:10" x14ac:dyDescent="0.3">
      <c r="A9" s="3" t="s">
        <v>95</v>
      </c>
      <c r="B9" s="18">
        <f>('Balance Sheet'!E4/DCF!B14)*365</f>
        <v>42.166064981949461</v>
      </c>
      <c r="C9" s="18">
        <f>'Balance Sheet'!D4/DCF!C14*365</f>
        <v>44.746809244567096</v>
      </c>
      <c r="D9" s="18">
        <f>'Balance Sheet'!C4/DCF!D14*365</f>
        <v>45.192672141503479</v>
      </c>
      <c r="E9" s="18">
        <f>'Balance Sheet'!B4/DCF!E14*365</f>
        <v>46.886178861788615</v>
      </c>
      <c r="F9" s="18">
        <f>AVERAGE(D9:E9)</f>
        <v>46.039425501646051</v>
      </c>
      <c r="G9" s="18">
        <f t="shared" ref="G9:I10" si="4">AVERAGE(E9:F9)</f>
        <v>46.462802181717336</v>
      </c>
      <c r="H9" s="18">
        <f t="shared" si="4"/>
        <v>46.251113841681693</v>
      </c>
      <c r="I9" s="18">
        <f t="shared" si="4"/>
        <v>46.356958011699518</v>
      </c>
    </row>
    <row r="10" spans="1:10" x14ac:dyDescent="0.3">
      <c r="A10" s="3" t="s">
        <v>96</v>
      </c>
      <c r="B10" s="18">
        <f>'Balance Sheet'!E13/DCF!B14*365</f>
        <v>42.166064981949461</v>
      </c>
      <c r="C10" s="18">
        <f>'Balance Sheet'!D13/DCF!C14*365</f>
        <v>45.200068989306658</v>
      </c>
      <c r="D10" s="18">
        <f>'Balance Sheet'!C13/DCF!D14*365</f>
        <v>44.039797852179404</v>
      </c>
      <c r="E10" s="18">
        <f>'Balance Sheet'!B13/DCF!E14*365</f>
        <v>45.105691056910572</v>
      </c>
      <c r="F10" s="18">
        <f>AVERAGE(D10:E10)</f>
        <v>44.572744454544988</v>
      </c>
      <c r="G10" s="18">
        <f t="shared" si="4"/>
        <v>44.83921775572778</v>
      </c>
      <c r="H10" s="18">
        <f t="shared" si="4"/>
        <v>44.705981105136388</v>
      </c>
      <c r="I10" s="18">
        <f t="shared" si="4"/>
        <v>44.772599430432081</v>
      </c>
    </row>
    <row r="12" spans="1:10" x14ac:dyDescent="0.3">
      <c r="A12" s="3" t="s">
        <v>97</v>
      </c>
      <c r="B12" s="7">
        <f>DCF!B14/365*'DCF Calculation'!B9</f>
        <v>1600.0000000000002</v>
      </c>
      <c r="C12" s="7">
        <f>DCF!C14/365*'DCF Calculation'!C9</f>
        <v>1777.0000000000002</v>
      </c>
      <c r="D12" s="7">
        <f>DCF!D14/365*'DCF Calculation'!D9</f>
        <v>1568</v>
      </c>
      <c r="E12" s="7">
        <f>DCF!E14/365*'DCF Calculation'!E9</f>
        <v>1580</v>
      </c>
      <c r="F12" s="7">
        <f>DCF!F14/365*'DCF Calculation'!F9</f>
        <v>1661.2740162601629</v>
      </c>
      <c r="G12" s="7">
        <f>DCF!G14/365*'DCF Calculation'!G9</f>
        <v>1739.4216878048785</v>
      </c>
      <c r="H12" s="7">
        <f>DCF!H14/365*'DCF Calculation'!H9</f>
        <v>1792.0991257317075</v>
      </c>
      <c r="I12" s="7">
        <f>DCF!I14/365*'DCF Calculation'!I9</f>
        <v>1854.576795609787</v>
      </c>
    </row>
    <row r="13" spans="1:10" x14ac:dyDescent="0.3">
      <c r="A13" s="3" t="s">
        <v>98</v>
      </c>
      <c r="B13" s="7">
        <f>DCF!B14/365*'DCF Calculation'!B10</f>
        <v>1600.0000000000002</v>
      </c>
      <c r="C13" s="7">
        <f>DCF!C14/365*'DCF Calculation'!C10</f>
        <v>1795</v>
      </c>
      <c r="D13" s="7">
        <f>DCF!D14/365*'DCF Calculation'!D10</f>
        <v>1527.9999999999998</v>
      </c>
      <c r="E13" s="7">
        <f>DCF!E14/365*'DCF Calculation'!E10</f>
        <v>1520.0000000000002</v>
      </c>
      <c r="F13" s="7">
        <f>DCF!F14/365*'DCF Calculation'!F10</f>
        <v>1608.350699186992</v>
      </c>
      <c r="G13" s="7">
        <f>DCF!G14/365*'DCF Calculation'!G10</f>
        <v>1678.6397756097565</v>
      </c>
      <c r="H13" s="7">
        <f>DCF!H14/365*'DCF Calculation'!H10</f>
        <v>1732.2296264634149</v>
      </c>
      <c r="I13" s="7">
        <f>DCF!I14/365*I10</f>
        <v>1791.1922512658234</v>
      </c>
    </row>
    <row r="14" spans="1:10" x14ac:dyDescent="0.3">
      <c r="A14" s="17" t="s">
        <v>99</v>
      </c>
      <c r="B14" s="7">
        <f>B12-B13</f>
        <v>0</v>
      </c>
      <c r="C14" s="7">
        <f>C12-C13</f>
        <v>-17.999999999999773</v>
      </c>
      <c r="D14" s="7">
        <f t="shared" ref="D14:I14" si="5">D12-D13</f>
        <v>40.000000000000227</v>
      </c>
      <c r="E14" s="7">
        <f>E12-E13</f>
        <v>59.999999999999773</v>
      </c>
      <c r="F14" s="7">
        <f t="shared" si="5"/>
        <v>52.923317073170892</v>
      </c>
      <c r="G14" s="7">
        <f t="shared" si="5"/>
        <v>60.781912195122004</v>
      </c>
      <c r="H14" s="7">
        <f t="shared" si="5"/>
        <v>59.869499268292657</v>
      </c>
      <c r="I14" s="7">
        <f t="shared" si="5"/>
        <v>63.384544343963626</v>
      </c>
    </row>
    <row r="16" spans="1:10" x14ac:dyDescent="0.3">
      <c r="A16" s="3" t="s">
        <v>100</v>
      </c>
      <c r="B16" s="17">
        <v>2021</v>
      </c>
      <c r="C16" s="17">
        <f>B16+1</f>
        <v>2022</v>
      </c>
      <c r="D16" s="17">
        <f t="shared" ref="D16:I16" si="6">C16+1</f>
        <v>2023</v>
      </c>
      <c r="E16" s="17">
        <v>2024</v>
      </c>
      <c r="F16" s="17">
        <f t="shared" ref="F16" si="7">E16+1</f>
        <v>2025</v>
      </c>
      <c r="G16" s="17">
        <f t="shared" ref="G16" si="8">F16+1</f>
        <v>2026</v>
      </c>
      <c r="H16" s="17">
        <f t="shared" ref="H16" si="9">G16+1</f>
        <v>2027</v>
      </c>
      <c r="I16" s="17">
        <f t="shared" si="6"/>
        <v>2028</v>
      </c>
    </row>
    <row r="17" spans="1:9" x14ac:dyDescent="0.3">
      <c r="A17" s="3" t="s">
        <v>101</v>
      </c>
      <c r="B17" s="7">
        <v>0</v>
      </c>
      <c r="C17" s="7">
        <f>C12-B12</f>
        <v>177</v>
      </c>
      <c r="D17" s="7">
        <f t="shared" ref="C17:G18" si="10">D12-C12</f>
        <v>-209.00000000000023</v>
      </c>
      <c r="E17" s="7">
        <f t="shared" si="10"/>
        <v>12</v>
      </c>
      <c r="F17" s="7">
        <f t="shared" si="10"/>
        <v>81.274016260162853</v>
      </c>
      <c r="G17" s="7">
        <f t="shared" si="10"/>
        <v>78.147671544715649</v>
      </c>
      <c r="H17" s="7">
        <f t="shared" ref="H17:I17" si="11">H12-G12</f>
        <v>52.677437926829043</v>
      </c>
      <c r="I17" s="7">
        <f t="shared" si="11"/>
        <v>62.477669878079496</v>
      </c>
    </row>
    <row r="18" spans="1:9" x14ac:dyDescent="0.3">
      <c r="A18" s="3" t="s">
        <v>102</v>
      </c>
      <c r="B18" s="7">
        <v>0</v>
      </c>
      <c r="C18" s="7">
        <f t="shared" si="10"/>
        <v>194.99999999999977</v>
      </c>
      <c r="D18" s="7">
        <f t="shared" si="10"/>
        <v>-267.00000000000023</v>
      </c>
      <c r="E18" s="7">
        <f t="shared" si="10"/>
        <v>-7.9999999999995453</v>
      </c>
      <c r="F18" s="7">
        <f t="shared" si="10"/>
        <v>88.350699186991733</v>
      </c>
      <c r="G18" s="7">
        <f t="shared" si="10"/>
        <v>70.289076422764538</v>
      </c>
      <c r="H18" s="7">
        <f>H13-G13</f>
        <v>53.58985085365839</v>
      </c>
      <c r="I18" s="7">
        <f t="shared" ref="I18" si="12">I13-H13</f>
        <v>58.962624802408527</v>
      </c>
    </row>
    <row r="19" spans="1:9" x14ac:dyDescent="0.3">
      <c r="A19" s="17" t="s">
        <v>99</v>
      </c>
      <c r="B19" s="7">
        <f>B17-B18</f>
        <v>0</v>
      </c>
      <c r="C19" s="7">
        <f>SUM(C17:C18)</f>
        <v>371.99999999999977</v>
      </c>
      <c r="D19" s="7">
        <f t="shared" ref="D19:I19" si="13">SUM(D17:D18)</f>
        <v>-476.00000000000045</v>
      </c>
      <c r="E19" s="7">
        <f>SUM(E17:E18)</f>
        <v>4.0000000000004547</v>
      </c>
      <c r="F19" s="7">
        <f>SUM(F17:F18)</f>
        <v>169.62471544715459</v>
      </c>
      <c r="G19" s="7">
        <f t="shared" si="13"/>
        <v>148.43674796748019</v>
      </c>
      <c r="H19" s="7">
        <f t="shared" si="13"/>
        <v>106.26728878048743</v>
      </c>
      <c r="I19" s="7">
        <f t="shared" si="13"/>
        <v>121.44029468048802</v>
      </c>
    </row>
    <row r="21" spans="1:9" x14ac:dyDescent="0.3">
      <c r="A21" s="17" t="s">
        <v>103</v>
      </c>
      <c r="B21" s="20">
        <f>(B22/(B23+B22))*B27+(B23/(B23+B22))*B30*(1-B3)</f>
        <v>5.062189792864949E-2</v>
      </c>
    </row>
    <row r="22" spans="1:9" x14ac:dyDescent="0.3">
      <c r="A22" s="3" t="s">
        <v>104</v>
      </c>
      <c r="B22" s="6">
        <f>'Balance Sheet'!C28</f>
        <v>3216</v>
      </c>
    </row>
    <row r="23" spans="1:9" x14ac:dyDescent="0.3">
      <c r="A23" s="3" t="s">
        <v>105</v>
      </c>
      <c r="B23" s="6">
        <f>'Balance Sheet'!C18+'Balance Sheet'!C16</f>
        <v>8980</v>
      </c>
    </row>
    <row r="24" spans="1:9" x14ac:dyDescent="0.3">
      <c r="A24" s="3" t="s">
        <v>106</v>
      </c>
      <c r="B24" s="3">
        <v>1.28</v>
      </c>
    </row>
    <row r="25" spans="1:9" x14ac:dyDescent="0.3">
      <c r="A25" s="3" t="s">
        <v>107</v>
      </c>
      <c r="B25" s="12">
        <v>4.2500000000000003E-2</v>
      </c>
    </row>
    <row r="26" spans="1:9" x14ac:dyDescent="0.3">
      <c r="A26" s="3" t="s">
        <v>108</v>
      </c>
      <c r="B26" s="12">
        <v>5.7500000000000002E-2</v>
      </c>
    </row>
    <row r="27" spans="1:9" x14ac:dyDescent="0.3">
      <c r="A27" s="17" t="s">
        <v>109</v>
      </c>
      <c r="B27" s="21">
        <f>B25+B24*(B26)</f>
        <v>0.11610000000000001</v>
      </c>
    </row>
    <row r="28" spans="1:9" x14ac:dyDescent="0.3">
      <c r="A28" s="19" t="s">
        <v>110</v>
      </c>
      <c r="B28" s="6">
        <v>67.58</v>
      </c>
    </row>
    <row r="29" spans="1:9" x14ac:dyDescent="0.3">
      <c r="A29" s="19" t="s">
        <v>111</v>
      </c>
      <c r="B29" s="6">
        <v>115.8</v>
      </c>
    </row>
    <row r="30" spans="1:9" x14ac:dyDescent="0.3">
      <c r="A30" s="17" t="s">
        <v>112</v>
      </c>
      <c r="B30" s="20">
        <f>B31/B32</f>
        <v>3.4075723830734969E-2</v>
      </c>
    </row>
    <row r="31" spans="1:9" x14ac:dyDescent="0.3">
      <c r="A31" s="19" t="s">
        <v>113</v>
      </c>
      <c r="B31" s="6">
        <f>'Income Statement'!C10</f>
        <v>306</v>
      </c>
    </row>
    <row r="32" spans="1:9" x14ac:dyDescent="0.3">
      <c r="A32" s="19" t="s">
        <v>114</v>
      </c>
      <c r="B32" s="6">
        <f>B23</f>
        <v>8980</v>
      </c>
    </row>
    <row r="35" spans="1:2" x14ac:dyDescent="0.3">
      <c r="A35" s="51" t="s">
        <v>128</v>
      </c>
      <c r="B35" s="52"/>
    </row>
    <row r="36" spans="1:2" x14ac:dyDescent="0.3">
      <c r="A36" s="3" t="s">
        <v>129</v>
      </c>
      <c r="B36" s="6">
        <f>'Balance Sheet'!C18</f>
        <v>8970</v>
      </c>
    </row>
    <row r="37" spans="1:2" x14ac:dyDescent="0.3">
      <c r="A37" s="3" t="s">
        <v>130</v>
      </c>
      <c r="B37" s="6">
        <f>'Balance Sheet'!C13</f>
        <v>1528</v>
      </c>
    </row>
    <row r="38" spans="1:2" x14ac:dyDescent="0.3">
      <c r="A38" s="3" t="s">
        <v>131</v>
      </c>
      <c r="B38" s="6">
        <f>-'Balance Sheet'!C3</f>
        <v>-1203</v>
      </c>
    </row>
    <row r="39" spans="1:2" x14ac:dyDescent="0.3">
      <c r="A39" s="3" t="s">
        <v>132</v>
      </c>
      <c r="B39" s="6">
        <f>SUM(B36:B38)</f>
        <v>9295</v>
      </c>
    </row>
  </sheetData>
  <mergeCells count="1"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DF1A-D947-43EE-B82B-D6463BBCA6A0}">
  <dimension ref="A1:K34"/>
  <sheetViews>
    <sheetView tabSelected="1" zoomScale="92" workbookViewId="0">
      <selection activeCell="H6" sqref="A1:I17"/>
    </sheetView>
  </sheetViews>
  <sheetFormatPr defaultRowHeight="14.4" x14ac:dyDescent="0.3"/>
  <cols>
    <col min="1" max="1" width="37.5546875" bestFit="1" customWidth="1"/>
    <col min="2" max="9" width="12" bestFit="1" customWidth="1"/>
  </cols>
  <sheetData>
    <row r="1" spans="1:10" x14ac:dyDescent="0.3">
      <c r="A1" s="44" t="s">
        <v>193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x14ac:dyDescent="0.3">
      <c r="A2" s="47" t="s">
        <v>194</v>
      </c>
    </row>
    <row r="3" spans="1:10" x14ac:dyDescent="0.3">
      <c r="A3" s="32" t="s">
        <v>76</v>
      </c>
      <c r="B3" s="33" t="s">
        <v>157</v>
      </c>
      <c r="C3" s="33" t="s">
        <v>158</v>
      </c>
      <c r="D3" s="33" t="s">
        <v>159</v>
      </c>
      <c r="E3" s="33" t="s">
        <v>160</v>
      </c>
      <c r="F3" s="33" t="s">
        <v>161</v>
      </c>
      <c r="G3" s="33" t="s">
        <v>162</v>
      </c>
      <c r="H3" s="33" t="s">
        <v>163</v>
      </c>
      <c r="I3" s="33" t="s">
        <v>164</v>
      </c>
    </row>
    <row r="4" spans="1:10" x14ac:dyDescent="0.3">
      <c r="A4" s="34" t="s">
        <v>143</v>
      </c>
      <c r="B4" s="6">
        <v>13850</v>
      </c>
      <c r="C4" s="6">
        <v>14495</v>
      </c>
      <c r="D4" s="6">
        <v>12664</v>
      </c>
      <c r="E4" s="6">
        <v>12300</v>
      </c>
      <c r="F4" s="6">
        <v>13170.560000000001</v>
      </c>
      <c r="G4" s="6">
        <v>13664.456000000002</v>
      </c>
      <c r="H4" s="6">
        <v>14142.711960000001</v>
      </c>
      <c r="I4" s="6">
        <v>14602.350098700001</v>
      </c>
    </row>
    <row r="5" spans="1:10" x14ac:dyDescent="0.3">
      <c r="A5" s="34" t="s">
        <v>144</v>
      </c>
      <c r="B5" s="13"/>
      <c r="C5" s="13">
        <v>4.6570397111913353E-2</v>
      </c>
      <c r="D5" s="13">
        <v>-0.12631942048982403</v>
      </c>
      <c r="E5" s="13">
        <v>-2.8742893240682243E-2</v>
      </c>
      <c r="F5" s="13">
        <v>0.04</v>
      </c>
      <c r="G5" s="13">
        <v>3.7499999999999999E-2</v>
      </c>
      <c r="H5" s="13">
        <v>3.4999999999999996E-2</v>
      </c>
      <c r="I5" s="13">
        <v>3.2499999999999994E-2</v>
      </c>
    </row>
    <row r="6" spans="1:10" x14ac:dyDescent="0.3">
      <c r="A6" s="34" t="s">
        <v>145</v>
      </c>
      <c r="B6" s="6">
        <v>11352</v>
      </c>
      <c r="C6" s="6">
        <v>12123</v>
      </c>
      <c r="D6" s="6">
        <v>10354</v>
      </c>
      <c r="E6" s="6">
        <v>10152</v>
      </c>
      <c r="F6" s="6">
        <v>10768.160000000002</v>
      </c>
      <c r="G6" s="6">
        <v>11201.285395895407</v>
      </c>
      <c r="H6" s="6">
        <v>11522.6168249517</v>
      </c>
      <c r="I6" s="6">
        <v>11824.090121269177</v>
      </c>
    </row>
    <row r="7" spans="1:10" x14ac:dyDescent="0.3">
      <c r="A7" s="34" t="s">
        <v>146</v>
      </c>
      <c r="B7" s="13">
        <v>0.81963898916967504</v>
      </c>
      <c r="C7" s="13">
        <v>0.83635736460848564</v>
      </c>
      <c r="D7" s="13">
        <v>0.81759317751105498</v>
      </c>
      <c r="E7" s="13">
        <v>0.82536585365853654</v>
      </c>
      <c r="F7" s="13">
        <v>0.81973884623693805</v>
      </c>
      <c r="G7" s="13">
        <v>0.81473884623693804</v>
      </c>
      <c r="H7" s="13">
        <v>0.80973884623693804</v>
      </c>
      <c r="I7" s="13">
        <v>0.80473884623693803</v>
      </c>
    </row>
    <row r="8" spans="1:10" x14ac:dyDescent="0.3">
      <c r="A8" s="34" t="s">
        <v>147</v>
      </c>
      <c r="B8" s="6">
        <v>2498</v>
      </c>
      <c r="C8" s="6">
        <v>2372</v>
      </c>
      <c r="D8" s="6">
        <v>2310</v>
      </c>
      <c r="E8" s="6">
        <v>2148</v>
      </c>
      <c r="F8" s="6">
        <v>2402.3999999999996</v>
      </c>
      <c r="G8" s="6">
        <v>2463.1706041045945</v>
      </c>
      <c r="H8" s="6">
        <v>2620.0951350482555</v>
      </c>
      <c r="I8" s="6">
        <v>2778.2599774308237</v>
      </c>
    </row>
    <row r="9" spans="1:10" x14ac:dyDescent="0.3">
      <c r="A9" s="34" t="s">
        <v>148</v>
      </c>
      <c r="B9" s="13">
        <v>0.18036101083032491</v>
      </c>
      <c r="C9" s="13">
        <v>0.1636426353915143</v>
      </c>
      <c r="D9" s="13">
        <v>0.18240682248894505</v>
      </c>
      <c r="E9" s="13">
        <v>0.1746341463414634</v>
      </c>
      <c r="F9" s="13">
        <v>0.18240682248894499</v>
      </c>
      <c r="G9" s="13">
        <v>0.18026115376306193</v>
      </c>
      <c r="H9" s="13">
        <v>0.18526115376306196</v>
      </c>
      <c r="I9" s="13">
        <v>0.19026115376306196</v>
      </c>
    </row>
    <row r="10" spans="1:10" x14ac:dyDescent="0.3">
      <c r="A10" s="34" t="s">
        <v>149</v>
      </c>
      <c r="B10" s="6">
        <v>867</v>
      </c>
      <c r="C10" s="6">
        <v>850</v>
      </c>
      <c r="D10" s="6">
        <v>886</v>
      </c>
      <c r="E10" s="6">
        <v>870</v>
      </c>
      <c r="F10" s="6">
        <v>862.45434349483605</v>
      </c>
      <c r="G10" s="6">
        <v>928.9575213758925</v>
      </c>
      <c r="H10" s="6">
        <v>996.82781452404868</v>
      </c>
      <c r="I10" s="6">
        <v>1065.7305937428303</v>
      </c>
    </row>
    <row r="11" spans="1:10" x14ac:dyDescent="0.3">
      <c r="A11" s="34" t="s">
        <v>150</v>
      </c>
      <c r="B11" s="13">
        <v>6.2599277978339349E-2</v>
      </c>
      <c r="C11" s="13">
        <v>5.8640910658847877E-2</v>
      </c>
      <c r="D11" s="13">
        <v>6.9962097283638655E-2</v>
      </c>
      <c r="E11" s="13">
        <v>7.0731707317073164E-2</v>
      </c>
      <c r="F11" s="13">
        <v>6.5483498309474766E-2</v>
      </c>
      <c r="G11" s="13">
        <v>6.7983498309474769E-2</v>
      </c>
      <c r="H11" s="13">
        <v>7.0483498309474771E-2</v>
      </c>
      <c r="I11" s="13">
        <v>7.2983498309474773E-2</v>
      </c>
    </row>
    <row r="12" spans="1:10" x14ac:dyDescent="0.3">
      <c r="A12" s="34" t="s">
        <v>151</v>
      </c>
      <c r="B12" s="6">
        <v>566</v>
      </c>
      <c r="C12" s="6">
        <v>562</v>
      </c>
      <c r="D12" s="6">
        <v>575</v>
      </c>
      <c r="E12" s="6">
        <v>560</v>
      </c>
      <c r="F12" s="6">
        <v>567.66666666666663</v>
      </c>
      <c r="G12" s="6">
        <v>566.13333333333333</v>
      </c>
      <c r="H12" s="6">
        <v>566.13333333333333</v>
      </c>
      <c r="I12" s="6">
        <v>566.13333333333333</v>
      </c>
    </row>
    <row r="13" spans="1:10" x14ac:dyDescent="0.3">
      <c r="A13" s="34" t="s">
        <v>152</v>
      </c>
      <c r="B13" s="13">
        <v>4.0866425992779787E-2</v>
      </c>
      <c r="C13" s="13">
        <v>3.8771990341497066E-2</v>
      </c>
      <c r="D13" s="13">
        <v>4.5404295641187621E-2</v>
      </c>
      <c r="E13" s="13">
        <v>4.5528455284552849E-2</v>
      </c>
      <c r="F13" s="13">
        <v>4.3101179195620121E-2</v>
      </c>
      <c r="G13" s="13">
        <v>4.1431091975658106E-2</v>
      </c>
      <c r="H13" s="13">
        <v>4.0030040556191408E-2</v>
      </c>
      <c r="I13" s="13">
        <v>3.8770015066529211E-2</v>
      </c>
    </row>
    <row r="14" spans="1:10" x14ac:dyDescent="0.3">
      <c r="A14" s="34" t="s">
        <v>153</v>
      </c>
      <c r="B14" s="6">
        <v>1433</v>
      </c>
      <c r="C14" s="6">
        <v>1412</v>
      </c>
      <c r="D14" s="6">
        <v>1461</v>
      </c>
      <c r="E14" s="6">
        <v>1430</v>
      </c>
      <c r="F14" s="6">
        <v>1430.1210101615027</v>
      </c>
      <c r="G14" s="6">
        <v>1495.0908547092258</v>
      </c>
      <c r="H14" s="6">
        <v>1562.961147857382</v>
      </c>
      <c r="I14" s="6">
        <v>1631.8639270761637</v>
      </c>
    </row>
    <row r="15" spans="1:10" x14ac:dyDescent="0.3">
      <c r="A15" s="34" t="s">
        <v>154</v>
      </c>
      <c r="B15" s="6">
        <v>1065</v>
      </c>
      <c r="C15" s="6">
        <v>960</v>
      </c>
      <c r="D15" s="6">
        <v>849</v>
      </c>
      <c r="E15" s="6">
        <v>718</v>
      </c>
      <c r="F15" s="6">
        <v>972.27898983849695</v>
      </c>
      <c r="G15" s="6">
        <v>968.07974939536871</v>
      </c>
      <c r="H15" s="6">
        <v>1057.1339871908735</v>
      </c>
      <c r="I15" s="6">
        <v>1146.39605035466</v>
      </c>
    </row>
    <row r="16" spans="1:10" x14ac:dyDescent="0.3">
      <c r="A16" s="34" t="s">
        <v>155</v>
      </c>
      <c r="B16" s="6">
        <v>650</v>
      </c>
      <c r="C16" s="6">
        <v>687</v>
      </c>
      <c r="D16" s="6">
        <v>689</v>
      </c>
      <c r="E16" s="6">
        <v>-286</v>
      </c>
      <c r="F16" s="6">
        <v>413.1644838013155</v>
      </c>
      <c r="G16" s="6">
        <v>428.65815194386488</v>
      </c>
      <c r="H16" s="6">
        <v>443.66118726190007</v>
      </c>
      <c r="I16" s="6">
        <v>458.08017584791185</v>
      </c>
    </row>
    <row r="17" spans="1:11" x14ac:dyDescent="0.3">
      <c r="A17" s="34" t="s">
        <v>156</v>
      </c>
      <c r="B17" s="13">
        <v>4.6931407942238268E-2</v>
      </c>
      <c r="C17" s="13">
        <v>4.7395653673680579E-2</v>
      </c>
      <c r="D17" s="13">
        <v>5.4406190777005682E-2</v>
      </c>
      <c r="E17" s="13">
        <v>-2.3252032520325202E-2</v>
      </c>
      <c r="F17" s="13">
        <v>3.1370304968149833E-2</v>
      </c>
      <c r="G17" s="13">
        <v>3.1370304968149833E-2</v>
      </c>
      <c r="H17" s="13">
        <v>3.1370304968149833E-2</v>
      </c>
      <c r="I17" s="13">
        <v>3.1370304968149833E-2</v>
      </c>
    </row>
    <row r="20" spans="1:11" ht="18" x14ac:dyDescent="0.3">
      <c r="A20" s="35" t="s">
        <v>165</v>
      </c>
    </row>
    <row r="21" spans="1:11" ht="18" x14ac:dyDescent="0.3">
      <c r="A21" s="35"/>
    </row>
    <row r="22" spans="1:11" x14ac:dyDescent="0.3">
      <c r="A22" s="46" t="s">
        <v>166</v>
      </c>
      <c r="B22" s="46" t="s">
        <v>157</v>
      </c>
      <c r="C22" s="46" t="s">
        <v>158</v>
      </c>
      <c r="D22" s="46" t="s">
        <v>159</v>
      </c>
      <c r="E22" s="46" t="s">
        <v>160</v>
      </c>
      <c r="F22" s="46" t="s">
        <v>161</v>
      </c>
      <c r="G22" s="46" t="s">
        <v>162</v>
      </c>
      <c r="H22" s="46" t="s">
        <v>163</v>
      </c>
      <c r="I22" s="46" t="s">
        <v>164</v>
      </c>
      <c r="K22" s="29" t="s">
        <v>175</v>
      </c>
    </row>
    <row r="23" spans="1:11" x14ac:dyDescent="0.3">
      <c r="A23" s="46" t="s">
        <v>167</v>
      </c>
      <c r="B23" s="13">
        <f t="shared" ref="B23:I23" si="0">B8/B4</f>
        <v>0.18036101083032491</v>
      </c>
      <c r="C23" s="13">
        <f t="shared" si="0"/>
        <v>0.1636426353915143</v>
      </c>
      <c r="D23" s="13">
        <f t="shared" si="0"/>
        <v>0.18240682248894505</v>
      </c>
      <c r="E23" s="13">
        <f t="shared" si="0"/>
        <v>0.1746341463414634</v>
      </c>
      <c r="F23" s="13">
        <f t="shared" si="0"/>
        <v>0.18240682248894499</v>
      </c>
      <c r="G23" s="13">
        <f t="shared" si="0"/>
        <v>0.18026115376306193</v>
      </c>
      <c r="H23" s="13">
        <f t="shared" si="0"/>
        <v>0.18526115376306196</v>
      </c>
      <c r="I23" s="13">
        <f t="shared" si="0"/>
        <v>0.19026115376306196</v>
      </c>
      <c r="K23" t="s">
        <v>176</v>
      </c>
    </row>
    <row r="24" spans="1:11" x14ac:dyDescent="0.3">
      <c r="A24" s="46" t="s">
        <v>168</v>
      </c>
      <c r="B24" s="13">
        <f t="shared" ref="B24:I24" si="1">B15/B4</f>
        <v>7.6895306859205773E-2</v>
      </c>
      <c r="C24" s="13">
        <f t="shared" si="1"/>
        <v>6.6229734391169373E-2</v>
      </c>
      <c r="D24" s="13">
        <f t="shared" si="1"/>
        <v>6.7040429564118764E-2</v>
      </c>
      <c r="E24" s="13">
        <f t="shared" si="1"/>
        <v>5.8373983739837397E-2</v>
      </c>
      <c r="F24" s="13">
        <f t="shared" si="1"/>
        <v>7.3822144983850105E-2</v>
      </c>
      <c r="G24" s="13">
        <f t="shared" si="1"/>
        <v>7.0846563477929059E-2</v>
      </c>
      <c r="H24" s="13">
        <f t="shared" si="1"/>
        <v>7.4747614897395787E-2</v>
      </c>
      <c r="I24" s="13">
        <f t="shared" si="1"/>
        <v>7.8507640387057959E-2</v>
      </c>
      <c r="K24" t="s">
        <v>177</v>
      </c>
    </row>
    <row r="25" spans="1:11" x14ac:dyDescent="0.3">
      <c r="A25" s="46" t="s">
        <v>169</v>
      </c>
      <c r="B25" s="13">
        <f t="shared" ref="B25:I25" si="2">B10/B4</f>
        <v>6.2599277978339349E-2</v>
      </c>
      <c r="C25" s="13">
        <f t="shared" si="2"/>
        <v>5.8640910658847877E-2</v>
      </c>
      <c r="D25" s="13">
        <f t="shared" si="2"/>
        <v>6.9962097283638655E-2</v>
      </c>
      <c r="E25" s="13">
        <f t="shared" si="2"/>
        <v>7.0731707317073164E-2</v>
      </c>
      <c r="F25" s="13">
        <f t="shared" si="2"/>
        <v>6.5483498309474766E-2</v>
      </c>
      <c r="G25" s="13">
        <f t="shared" si="2"/>
        <v>6.7983498309474769E-2</v>
      </c>
      <c r="H25" s="13">
        <f t="shared" si="2"/>
        <v>7.0483498309474771E-2</v>
      </c>
      <c r="I25" s="13">
        <f t="shared" si="2"/>
        <v>7.2983498309474773E-2</v>
      </c>
      <c r="K25" t="s">
        <v>178</v>
      </c>
    </row>
    <row r="26" spans="1:11" x14ac:dyDescent="0.3">
      <c r="A26" s="46" t="s">
        <v>170</v>
      </c>
      <c r="B26" s="13">
        <f t="shared" ref="B26:I26" si="3">B16/B4</f>
        <v>4.6931407942238268E-2</v>
      </c>
      <c r="C26" s="13">
        <f t="shared" si="3"/>
        <v>4.7395653673680579E-2</v>
      </c>
      <c r="D26" s="13">
        <f t="shared" si="3"/>
        <v>5.4406190777005682E-2</v>
      </c>
      <c r="E26" s="13">
        <f t="shared" si="3"/>
        <v>-2.3252032520325202E-2</v>
      </c>
      <c r="F26" s="13">
        <f t="shared" si="3"/>
        <v>3.1370304968149833E-2</v>
      </c>
      <c r="G26" s="13">
        <f t="shared" si="3"/>
        <v>3.1370304968149833E-2</v>
      </c>
      <c r="H26" s="13">
        <f t="shared" si="3"/>
        <v>3.1370304968149833E-2</v>
      </c>
      <c r="I26" s="13">
        <f t="shared" si="3"/>
        <v>3.1370304968149833E-2</v>
      </c>
      <c r="K26" t="s">
        <v>179</v>
      </c>
    </row>
    <row r="27" spans="1:11" x14ac:dyDescent="0.3">
      <c r="A27" s="46" t="s">
        <v>171</v>
      </c>
      <c r="B27" s="13">
        <f t="shared" ref="B27:I27" si="4">B12/B4</f>
        <v>4.0866425992779787E-2</v>
      </c>
      <c r="C27" s="13">
        <f t="shared" si="4"/>
        <v>3.8771990341497066E-2</v>
      </c>
      <c r="D27" s="13">
        <f t="shared" si="4"/>
        <v>4.5404295641187621E-2</v>
      </c>
      <c r="E27" s="13">
        <f t="shared" si="4"/>
        <v>4.5528455284552849E-2</v>
      </c>
      <c r="F27" s="13">
        <f t="shared" si="4"/>
        <v>4.3101179195620121E-2</v>
      </c>
      <c r="G27" s="13">
        <f t="shared" si="4"/>
        <v>4.1431091975658106E-2</v>
      </c>
      <c r="H27" s="13">
        <f t="shared" si="4"/>
        <v>4.0030040556191408E-2</v>
      </c>
      <c r="I27" s="13">
        <f t="shared" si="4"/>
        <v>3.8770015066529211E-2</v>
      </c>
      <c r="K27" t="s">
        <v>180</v>
      </c>
    </row>
    <row r="28" spans="1:11" x14ac:dyDescent="0.3">
      <c r="A28" s="46" t="s">
        <v>172</v>
      </c>
      <c r="B28" s="13">
        <f t="shared" ref="B28:I28" si="5">B14/B4</f>
        <v>0.10346570397111914</v>
      </c>
      <c r="C28" s="13">
        <f t="shared" si="5"/>
        <v>9.7412901000344942E-2</v>
      </c>
      <c r="D28" s="13">
        <f t="shared" si="5"/>
        <v>0.11536639292482628</v>
      </c>
      <c r="E28" s="13">
        <f t="shared" si="5"/>
        <v>0.11626016260162601</v>
      </c>
      <c r="F28" s="13">
        <f t="shared" si="5"/>
        <v>0.10858467750509489</v>
      </c>
      <c r="G28" s="13">
        <f t="shared" si="5"/>
        <v>0.10941459028513287</v>
      </c>
      <c r="H28" s="13">
        <f t="shared" si="5"/>
        <v>0.11051353886566619</v>
      </c>
      <c r="I28" s="13">
        <f t="shared" si="5"/>
        <v>0.11175351337600399</v>
      </c>
      <c r="K28" t="s">
        <v>181</v>
      </c>
    </row>
    <row r="29" spans="1:11" x14ac:dyDescent="0.3">
      <c r="A29" s="46" t="s">
        <v>173</v>
      </c>
      <c r="B29" s="13">
        <f>B6/B4</f>
        <v>0.81963898916967504</v>
      </c>
      <c r="C29" s="13">
        <f t="shared" ref="C29:I29" si="6">C6/C4</f>
        <v>0.83635736460848564</v>
      </c>
      <c r="D29" s="13">
        <f t="shared" si="6"/>
        <v>0.81759317751105498</v>
      </c>
      <c r="E29" s="13">
        <f t="shared" si="6"/>
        <v>0.82536585365853654</v>
      </c>
      <c r="F29" s="13">
        <f t="shared" si="6"/>
        <v>0.81759317751105498</v>
      </c>
      <c r="G29" s="13">
        <f t="shared" si="6"/>
        <v>0.81973884623693805</v>
      </c>
      <c r="H29" s="13">
        <f t="shared" si="6"/>
        <v>0.81473884623693482</v>
      </c>
      <c r="I29" s="13">
        <f t="shared" si="6"/>
        <v>0.80973884623693804</v>
      </c>
      <c r="K29" s="16" t="s">
        <v>182</v>
      </c>
    </row>
    <row r="30" spans="1:11" x14ac:dyDescent="0.3">
      <c r="A30" s="46" t="s">
        <v>174</v>
      </c>
      <c r="B30" s="13">
        <f t="shared" ref="B30:I30" si="7">(B15+B12)/B4</f>
        <v>0.11776173285198556</v>
      </c>
      <c r="C30" s="13">
        <f t="shared" si="7"/>
        <v>0.10500172473266643</v>
      </c>
      <c r="D30" s="13">
        <f t="shared" si="7"/>
        <v>0.11244472520530638</v>
      </c>
      <c r="E30" s="13">
        <f t="shared" si="7"/>
        <v>0.10390243902439024</v>
      </c>
      <c r="F30" s="13">
        <f t="shared" si="7"/>
        <v>0.11692332417947024</v>
      </c>
      <c r="G30" s="13">
        <f t="shared" si="7"/>
        <v>0.11227765545358716</v>
      </c>
      <c r="H30" s="13">
        <f t="shared" si="7"/>
        <v>0.11477765545358719</v>
      </c>
      <c r="I30" s="13">
        <f t="shared" si="7"/>
        <v>0.11727765545358716</v>
      </c>
      <c r="K30" t="s">
        <v>183</v>
      </c>
    </row>
    <row r="31" spans="1:11" x14ac:dyDescent="0.3">
      <c r="K31" t="s">
        <v>184</v>
      </c>
    </row>
    <row r="32" spans="1:11" x14ac:dyDescent="0.3">
      <c r="A32" s="29"/>
      <c r="K32" t="s">
        <v>185</v>
      </c>
    </row>
    <row r="33" spans="1:11" x14ac:dyDescent="0.3">
      <c r="A33" s="29"/>
      <c r="B33" s="48"/>
      <c r="K33" t="s">
        <v>186</v>
      </c>
    </row>
    <row r="34" spans="1:11" x14ac:dyDescent="0.3">
      <c r="A34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 Statement</vt:lpstr>
      <vt:lpstr>Balance Sheet</vt:lpstr>
      <vt:lpstr>Cash Flow Statement</vt:lpstr>
      <vt:lpstr>DCF</vt:lpstr>
      <vt:lpstr>DCF Calculation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Shah</dc:creator>
  <cp:lastModifiedBy>Niket Shah</cp:lastModifiedBy>
  <dcterms:created xsi:type="dcterms:W3CDTF">2015-06-05T18:17:20Z</dcterms:created>
  <dcterms:modified xsi:type="dcterms:W3CDTF">2026-04-09T03:53:18Z</dcterms:modified>
</cp:coreProperties>
</file>